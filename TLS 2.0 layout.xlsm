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8800" windowHeight="12315" activeTab="5"/>
  </bookViews>
  <sheets>
    <sheet name="Layout" sheetId="1" r:id="rId1"/>
    <sheet name="Line" sheetId="5" r:id="rId2"/>
    <sheet name="Data" sheetId="2" r:id="rId3"/>
    <sheet name="AndonMapper" sheetId="3" r:id="rId4"/>
    <sheet name="AutonicMapper" sheetId="4" r:id="rId5"/>
    <sheet name="dataAutonic" sheetId="6" r:id="rId6"/>
  </sheets>
  <calcPr calcId="152511"/>
</workbook>
</file>

<file path=xl/calcChain.xml><?xml version="1.0" encoding="utf-8"?>
<calcChain xmlns="http://schemas.openxmlformats.org/spreadsheetml/2006/main">
  <c r="O24" i="6" l="1"/>
  <c r="N24" i="6"/>
  <c r="M24" i="6"/>
  <c r="L24" i="6"/>
  <c r="K24" i="6"/>
  <c r="O23" i="6"/>
  <c r="N23" i="6"/>
  <c r="M23" i="6"/>
  <c r="L23" i="6"/>
  <c r="K23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F18" i="6" l="1"/>
  <c r="H18" i="6"/>
  <c r="H17" i="6"/>
  <c r="F17" i="6"/>
  <c r="D14" i="6"/>
  <c r="G14" i="6"/>
  <c r="G13" i="6"/>
  <c r="D13" i="6"/>
  <c r="G8" i="6"/>
  <c r="H8" i="6"/>
  <c r="H7" i="6"/>
  <c r="G7" i="6"/>
  <c r="B91" i="5" l="1"/>
  <c r="B97" i="5"/>
  <c r="C19" i="4" l="1"/>
  <c r="H23" i="6" s="1"/>
  <c r="H24" i="6" s="1"/>
  <c r="C127" i="3" l="1"/>
  <c r="B127" i="3" s="1"/>
  <c r="C126" i="3"/>
  <c r="B126" i="3" s="1"/>
  <c r="C125" i="3"/>
  <c r="B125" i="3" s="1"/>
  <c r="C121" i="3"/>
  <c r="B121" i="3" s="1"/>
  <c r="B15" i="5" l="1"/>
  <c r="B2" i="5"/>
  <c r="D36" i="4" l="1"/>
  <c r="D37" i="4"/>
  <c r="B36" i="4"/>
  <c r="B37" i="4"/>
  <c r="B30" i="4" l="1"/>
  <c r="D30" i="4"/>
  <c r="D19" i="4"/>
  <c r="B19" i="4"/>
  <c r="D13" i="4"/>
  <c r="D11" i="4"/>
  <c r="B11" i="4"/>
  <c r="B13" i="4"/>
  <c r="B102" i="5" l="1"/>
  <c r="C57" i="3" s="1"/>
  <c r="B57" i="3" s="1"/>
  <c r="B101" i="5"/>
  <c r="C56" i="3" s="1"/>
  <c r="B56" i="3" s="1"/>
  <c r="B100" i="5"/>
  <c r="C55" i="3" s="1"/>
  <c r="B55" i="3" s="1"/>
  <c r="B99" i="5"/>
  <c r="C54" i="3" s="1"/>
  <c r="B54" i="3" s="1"/>
  <c r="B98" i="5"/>
  <c r="C53" i="3" s="1"/>
  <c r="B53" i="3" s="1"/>
  <c r="B96" i="5"/>
  <c r="C17" i="4" s="1"/>
  <c r="F23" i="6" s="1"/>
  <c r="F24" i="6" s="1"/>
  <c r="B95" i="5"/>
  <c r="C16" i="4" s="1"/>
  <c r="E23" i="6" s="1"/>
  <c r="E24" i="6" s="1"/>
  <c r="B94" i="5"/>
  <c r="C15" i="4" s="1"/>
  <c r="D23" i="6" s="1"/>
  <c r="D24" i="6" s="1"/>
  <c r="B93" i="5"/>
  <c r="C14" i="4" s="1"/>
  <c r="C23" i="6" s="1"/>
  <c r="C24" i="6" s="1"/>
  <c r="B92" i="5"/>
  <c r="C18" i="4" s="1"/>
  <c r="G23" i="6" s="1"/>
  <c r="G24" i="6" s="1"/>
  <c r="C25" i="4"/>
  <c r="H21" i="6" s="1"/>
  <c r="H22" i="6" s="1"/>
  <c r="B90" i="5"/>
  <c r="C24" i="4" s="1"/>
  <c r="G21" i="6" s="1"/>
  <c r="G22" i="6" s="1"/>
  <c r="B89" i="5"/>
  <c r="C23" i="4" s="1"/>
  <c r="F21" i="6" s="1"/>
  <c r="F22" i="6" s="1"/>
  <c r="B88" i="5"/>
  <c r="C22" i="4" s="1"/>
  <c r="E21" i="6" s="1"/>
  <c r="E22" i="6" s="1"/>
  <c r="B87" i="5"/>
  <c r="C21" i="4" s="1"/>
  <c r="D21" i="6" s="1"/>
  <c r="D22" i="6" s="1"/>
  <c r="B86" i="5"/>
  <c r="C20" i="4" s="1"/>
  <c r="C21" i="6" s="1"/>
  <c r="C22" i="6" s="1"/>
  <c r="B85" i="5"/>
  <c r="C124" i="3" s="1"/>
  <c r="B124" i="3" s="1"/>
  <c r="B84" i="5"/>
  <c r="C123" i="3" s="1"/>
  <c r="B123" i="3" s="1"/>
  <c r="B83" i="5"/>
  <c r="C122" i="3" s="1"/>
  <c r="B122" i="3" s="1"/>
  <c r="B72" i="5"/>
  <c r="C111" i="3" s="1"/>
  <c r="B111" i="3" s="1"/>
  <c r="B73" i="5"/>
  <c r="C112" i="3" s="1"/>
  <c r="B112" i="3" s="1"/>
  <c r="B74" i="5"/>
  <c r="C113" i="3" s="1"/>
  <c r="B113" i="3" s="1"/>
  <c r="B75" i="5"/>
  <c r="C114" i="3" s="1"/>
  <c r="B114" i="3" s="1"/>
  <c r="B76" i="5"/>
  <c r="C115" i="3" s="1"/>
  <c r="B115" i="3" s="1"/>
  <c r="B77" i="5"/>
  <c r="C116" i="3" s="1"/>
  <c r="B116" i="3" s="1"/>
  <c r="B78" i="5"/>
  <c r="C117" i="3" s="1"/>
  <c r="B117" i="3" s="1"/>
  <c r="B79" i="5"/>
  <c r="C118" i="3" s="1"/>
  <c r="B118" i="3" s="1"/>
  <c r="B80" i="5"/>
  <c r="C119" i="3" s="1"/>
  <c r="B119" i="3" s="1"/>
  <c r="B81" i="5"/>
  <c r="C120" i="3" s="1"/>
  <c r="B120" i="3" s="1"/>
  <c r="D21" i="4" l="1"/>
  <c r="B21" i="4"/>
  <c r="D25" i="4"/>
  <c r="B25" i="4"/>
  <c r="D16" i="4"/>
  <c r="B16" i="4"/>
  <c r="B22" i="4"/>
  <c r="D22" i="4"/>
  <c r="D17" i="4"/>
  <c r="B17" i="4"/>
  <c r="B23" i="4"/>
  <c r="D23" i="4"/>
  <c r="B14" i="4"/>
  <c r="D14" i="4"/>
  <c r="D18" i="4"/>
  <c r="B18" i="4"/>
  <c r="B20" i="4"/>
  <c r="D20" i="4"/>
  <c r="B24" i="4"/>
  <c r="D24" i="4"/>
  <c r="D15" i="4"/>
  <c r="B15" i="4"/>
  <c r="B71" i="5"/>
  <c r="C44" i="4" s="1"/>
  <c r="B70" i="5"/>
  <c r="C45" i="4" s="1"/>
  <c r="B69" i="5"/>
  <c r="C46" i="4" s="1"/>
  <c r="B68" i="5"/>
  <c r="C47" i="4" s="1"/>
  <c r="B67" i="5"/>
  <c r="C48" i="4" s="1"/>
  <c r="B66" i="5"/>
  <c r="C49" i="4" s="1"/>
  <c r="B65" i="5"/>
  <c r="C38" i="4" s="1"/>
  <c r="B64" i="5"/>
  <c r="C39" i="4" s="1"/>
  <c r="B63" i="5"/>
  <c r="C40" i="4" s="1"/>
  <c r="B62" i="5"/>
  <c r="C41" i="4" s="1"/>
  <c r="B61" i="5"/>
  <c r="C42" i="4" s="1"/>
  <c r="B60" i="5"/>
  <c r="C43" i="4" s="1"/>
  <c r="B59" i="5"/>
  <c r="C35" i="4" s="1"/>
  <c r="B58" i="5"/>
  <c r="C34" i="4" s="1"/>
  <c r="B57" i="5"/>
  <c r="C33" i="4" s="1"/>
  <c r="B56" i="5"/>
  <c r="C32" i="4" s="1"/>
  <c r="C7" i="6" s="1"/>
  <c r="C8" i="6" s="1"/>
  <c r="B55" i="5"/>
  <c r="C31" i="4" s="1"/>
  <c r="H13" i="6" s="1"/>
  <c r="H14" i="6" s="1"/>
  <c r="B54" i="5"/>
  <c r="C29" i="4" s="1"/>
  <c r="F13" i="6" s="1"/>
  <c r="F14" i="6" s="1"/>
  <c r="B53" i="5"/>
  <c r="C28" i="4" s="1"/>
  <c r="B52" i="5"/>
  <c r="C26" i="4" s="1"/>
  <c r="C13" i="6" s="1"/>
  <c r="C14" i="6" s="1"/>
  <c r="B51" i="5"/>
  <c r="C12" i="4" s="1"/>
  <c r="G17" i="6" s="1"/>
  <c r="G18" i="6" s="1"/>
  <c r="B50" i="5"/>
  <c r="C10" i="4" s="1"/>
  <c r="E17" i="6" s="1"/>
  <c r="E18" i="6" s="1"/>
  <c r="B49" i="5"/>
  <c r="C9" i="4" s="1"/>
  <c r="D17" i="6" s="1"/>
  <c r="D18" i="6" s="1"/>
  <c r="B48" i="5"/>
  <c r="C8" i="4" s="1"/>
  <c r="C17" i="6" s="1"/>
  <c r="C18" i="6" s="1"/>
  <c r="B47" i="5"/>
  <c r="C7" i="4" s="1"/>
  <c r="H15" i="6" s="1"/>
  <c r="H16" i="6" s="1"/>
  <c r="B46" i="5"/>
  <c r="C6" i="4" s="1"/>
  <c r="G15" i="6" s="1"/>
  <c r="G16" i="6" s="1"/>
  <c r="B45" i="5"/>
  <c r="C5" i="4" s="1"/>
  <c r="F15" i="6" s="1"/>
  <c r="F16" i="6" s="1"/>
  <c r="B44" i="5"/>
  <c r="C4" i="4" s="1"/>
  <c r="E15" i="6" s="1"/>
  <c r="E16" i="6" s="1"/>
  <c r="B43" i="5"/>
  <c r="C3" i="4" s="1"/>
  <c r="D15" i="6" s="1"/>
  <c r="D16" i="6" s="1"/>
  <c r="B42" i="5"/>
  <c r="C2" i="4" s="1"/>
  <c r="C15" i="6" s="1"/>
  <c r="C16" i="6" s="1"/>
  <c r="B41" i="5"/>
  <c r="C50" i="4" s="1"/>
  <c r="B40" i="5"/>
  <c r="C51" i="4" s="1"/>
  <c r="B39" i="5"/>
  <c r="C52" i="4" s="1"/>
  <c r="B38" i="5"/>
  <c r="C53" i="4" s="1"/>
  <c r="B37" i="5"/>
  <c r="C54" i="4" s="1"/>
  <c r="B36" i="5"/>
  <c r="C55" i="4" s="1"/>
  <c r="B35" i="5"/>
  <c r="C61" i="4" s="1"/>
  <c r="B34" i="5"/>
  <c r="C60" i="4" s="1"/>
  <c r="B33" i="5"/>
  <c r="C59" i="4" s="1"/>
  <c r="B32" i="5"/>
  <c r="C58" i="4" s="1"/>
  <c r="B31" i="5"/>
  <c r="C57" i="4" s="1"/>
  <c r="B30" i="5"/>
  <c r="C56" i="4" s="1"/>
  <c r="B29" i="5"/>
  <c r="C42" i="3" s="1"/>
  <c r="B42" i="3" s="1"/>
  <c r="B28" i="5"/>
  <c r="C41" i="3" s="1"/>
  <c r="B41" i="3" s="1"/>
  <c r="B27" i="5"/>
  <c r="C40" i="3" s="1"/>
  <c r="B40" i="3" s="1"/>
  <c r="B26" i="5"/>
  <c r="C39" i="3" s="1"/>
  <c r="B39" i="3" s="1"/>
  <c r="B25" i="5"/>
  <c r="C38" i="3" s="1"/>
  <c r="B38" i="3" s="1"/>
  <c r="B24" i="5"/>
  <c r="C37" i="3" s="1"/>
  <c r="B37" i="3" s="1"/>
  <c r="B23" i="5"/>
  <c r="C36" i="3" s="1"/>
  <c r="B36" i="3" s="1"/>
  <c r="B22" i="5"/>
  <c r="C35" i="3" s="1"/>
  <c r="B35" i="3" s="1"/>
  <c r="B21" i="5"/>
  <c r="C34" i="3" s="1"/>
  <c r="B34" i="3" s="1"/>
  <c r="B20" i="5"/>
  <c r="C33" i="3" s="1"/>
  <c r="B33" i="3" s="1"/>
  <c r="B19" i="5"/>
  <c r="C32" i="3" s="1"/>
  <c r="B32" i="3" s="1"/>
  <c r="B18" i="5"/>
  <c r="C31" i="3" s="1"/>
  <c r="B31" i="3" s="1"/>
  <c r="B17" i="5"/>
  <c r="C30" i="3" s="1"/>
  <c r="B30" i="3" s="1"/>
  <c r="B16" i="5"/>
  <c r="C29" i="3" s="1"/>
  <c r="B29" i="3" s="1"/>
  <c r="C14" i="3"/>
  <c r="B14" i="3" s="1"/>
  <c r="B3" i="5"/>
  <c r="C2" i="3" s="1"/>
  <c r="B2" i="3" s="1"/>
  <c r="B4" i="5"/>
  <c r="C3" i="3" s="1"/>
  <c r="B3" i="3" s="1"/>
  <c r="B5" i="5"/>
  <c r="C4" i="3" s="1"/>
  <c r="B4" i="3" s="1"/>
  <c r="B6" i="5"/>
  <c r="C5" i="3" s="1"/>
  <c r="B5" i="3" s="1"/>
  <c r="B7" i="5"/>
  <c r="C6" i="3" s="1"/>
  <c r="B6" i="3" s="1"/>
  <c r="B8" i="5"/>
  <c r="C7" i="3" s="1"/>
  <c r="B7" i="3" s="1"/>
  <c r="B9" i="5"/>
  <c r="C8" i="3" s="1"/>
  <c r="B8" i="3" s="1"/>
  <c r="B10" i="5"/>
  <c r="C9" i="3" s="1"/>
  <c r="B9" i="3" s="1"/>
  <c r="B11" i="5"/>
  <c r="C10" i="3" s="1"/>
  <c r="B10" i="3" s="1"/>
  <c r="B12" i="5"/>
  <c r="C11" i="3" s="1"/>
  <c r="B11" i="3" s="1"/>
  <c r="B13" i="5"/>
  <c r="C12" i="3" s="1"/>
  <c r="B12" i="3" s="1"/>
  <c r="B14" i="5"/>
  <c r="C13" i="3" s="1"/>
  <c r="B13" i="3" s="1"/>
  <c r="C15" i="3"/>
  <c r="B15" i="3" s="1"/>
  <c r="D57" i="4" l="1"/>
  <c r="D11" i="6"/>
  <c r="D12" i="6" s="1"/>
  <c r="B57" i="4"/>
  <c r="B52" i="4"/>
  <c r="E9" i="6"/>
  <c r="E10" i="6" s="1"/>
  <c r="D52" i="4"/>
  <c r="D40" i="4"/>
  <c r="E3" i="6"/>
  <c r="E4" i="6" s="1"/>
  <c r="B40" i="4"/>
  <c r="D44" i="4"/>
  <c r="C5" i="6"/>
  <c r="C6" i="6" s="1"/>
  <c r="B44" i="4"/>
  <c r="D58" i="4"/>
  <c r="E11" i="6"/>
  <c r="E12" i="6" s="1"/>
  <c r="B58" i="4"/>
  <c r="D51" i="4"/>
  <c r="D9" i="6"/>
  <c r="D10" i="6" s="1"/>
  <c r="B51" i="4"/>
  <c r="D39" i="4"/>
  <c r="D3" i="6"/>
  <c r="D4" i="6" s="1"/>
  <c r="B39" i="4"/>
  <c r="D56" i="4"/>
  <c r="C11" i="6"/>
  <c r="C12" i="6" s="1"/>
  <c r="B56" i="4"/>
  <c r="D41" i="4"/>
  <c r="F3" i="6"/>
  <c r="F4" i="6" s="1"/>
  <c r="B41" i="4"/>
  <c r="D59" i="4"/>
  <c r="F11" i="6"/>
  <c r="F12" i="6" s="1"/>
  <c r="B59" i="4"/>
  <c r="D50" i="4"/>
  <c r="C9" i="6"/>
  <c r="C10" i="6" s="1"/>
  <c r="B50" i="4"/>
  <c r="D7" i="6"/>
  <c r="D8" i="6" s="1"/>
  <c r="D33" i="4"/>
  <c r="B33" i="4"/>
  <c r="D38" i="4"/>
  <c r="C3" i="6"/>
  <c r="C4" i="6" s="1"/>
  <c r="B38" i="4"/>
  <c r="D60" i="4"/>
  <c r="G11" i="6"/>
  <c r="G12" i="6" s="1"/>
  <c r="B60" i="4"/>
  <c r="B34" i="4"/>
  <c r="E7" i="6"/>
  <c r="E8" i="6" s="1"/>
  <c r="D34" i="4"/>
  <c r="B49" i="4"/>
  <c r="H5" i="6"/>
  <c r="H6" i="6" s="1"/>
  <c r="D49" i="4"/>
  <c r="B61" i="4"/>
  <c r="H11" i="6"/>
  <c r="H12" i="6" s="1"/>
  <c r="D61" i="4"/>
  <c r="D35" i="4"/>
  <c r="F7" i="6"/>
  <c r="F8" i="6" s="1"/>
  <c r="B35" i="4"/>
  <c r="D48" i="4"/>
  <c r="G5" i="6"/>
  <c r="G6" i="6" s="1"/>
  <c r="B48" i="4"/>
  <c r="B53" i="4"/>
  <c r="F9" i="6"/>
  <c r="F10" i="6" s="1"/>
  <c r="D53" i="4"/>
  <c r="B45" i="4"/>
  <c r="D5" i="6"/>
  <c r="D6" i="6" s="1"/>
  <c r="D45" i="4"/>
  <c r="B55" i="4"/>
  <c r="H9" i="6"/>
  <c r="H10" i="6" s="1"/>
  <c r="D55" i="4"/>
  <c r="D43" i="4"/>
  <c r="H3" i="6"/>
  <c r="H4" i="6" s="1"/>
  <c r="B43" i="4"/>
  <c r="D47" i="4"/>
  <c r="F5" i="6"/>
  <c r="F6" i="6" s="1"/>
  <c r="B47" i="4"/>
  <c r="D54" i="4"/>
  <c r="G9" i="6"/>
  <c r="G10" i="6" s="1"/>
  <c r="B54" i="4"/>
  <c r="E13" i="6"/>
  <c r="E14" i="6" s="1"/>
  <c r="B28" i="4"/>
  <c r="D28" i="4"/>
  <c r="D42" i="4"/>
  <c r="G3" i="6"/>
  <c r="G4" i="6" s="1"/>
  <c r="B42" i="4"/>
  <c r="B46" i="4"/>
  <c r="E5" i="6"/>
  <c r="E6" i="6" s="1"/>
  <c r="D46" i="4"/>
  <c r="D32" i="4"/>
  <c r="B32" i="4"/>
  <c r="B2" i="4"/>
  <c r="D2" i="4"/>
  <c r="B6" i="4"/>
  <c r="D6" i="4"/>
  <c r="B10" i="4"/>
  <c r="D10" i="4"/>
  <c r="B29" i="4"/>
  <c r="D29" i="4"/>
  <c r="B3" i="4"/>
  <c r="D3" i="4"/>
  <c r="D7" i="4"/>
  <c r="B7" i="4"/>
  <c r="D12" i="4"/>
  <c r="B12" i="4"/>
  <c r="D31" i="4"/>
  <c r="B31" i="4"/>
  <c r="B4" i="4"/>
  <c r="D4" i="4"/>
  <c r="B8" i="4"/>
  <c r="D8" i="4"/>
  <c r="B26" i="4"/>
  <c r="D26" i="4"/>
  <c r="B5" i="4"/>
  <c r="D5" i="4"/>
  <c r="B9" i="4"/>
  <c r="D9" i="4"/>
  <c r="B27" i="4"/>
  <c r="D27" i="4"/>
</calcChain>
</file>

<file path=xl/sharedStrings.xml><?xml version="1.0" encoding="utf-8"?>
<sst xmlns="http://schemas.openxmlformats.org/spreadsheetml/2006/main" count="1392" uniqueCount="283">
  <si>
    <t>Line</t>
  </si>
  <si>
    <t>IP: 192.168.68.251
port: 502</t>
  </si>
  <si>
    <t>IP: 192.168.68.250
port: 502</t>
  </si>
  <si>
    <t>Phòng điều hành</t>
  </si>
  <si>
    <t>Khu máy K8
Khu máy cắt vải</t>
  </si>
  <si>
    <t>Địa chỉ đèn</t>
  </si>
  <si>
    <t>Kho thành phẩm xưởng A</t>
  </si>
  <si>
    <t>block 3</t>
  </si>
  <si>
    <t>block 2</t>
  </si>
  <si>
    <t>block 1</t>
  </si>
  <si>
    <t>Mock Store</t>
  </si>
  <si>
    <t>Kho thùng</t>
  </si>
  <si>
    <t>IP: 192.168.68.249
port: 502</t>
  </si>
  <si>
    <t>IP: 192.168.68.247
port: 502</t>
  </si>
  <si>
    <t>IP: 192.168.68.248
port: 502</t>
  </si>
  <si>
    <t>IP: 192.168.68.253
port: 502</t>
  </si>
  <si>
    <t>IP: 192.168.68.254
port: 502</t>
  </si>
  <si>
    <t>block 6</t>
  </si>
  <si>
    <t>block 5</t>
  </si>
  <si>
    <t>block 4</t>
  </si>
  <si>
    <t>Smart Andon</t>
  </si>
  <si>
    <t>Kho thành phẩm xưởng B</t>
  </si>
  <si>
    <t>IP: 192.168.69.253
port: 502</t>
  </si>
  <si>
    <t>IP: 192.168.69.254
port: 502</t>
  </si>
  <si>
    <t>Autonic</t>
  </si>
  <si>
    <t>IP: 192.168.68.252
port: 502</t>
  </si>
  <si>
    <t>M01</t>
  </si>
  <si>
    <t>M02</t>
  </si>
  <si>
    <t>M03</t>
  </si>
  <si>
    <t>M04</t>
  </si>
  <si>
    <t>SUB02</t>
  </si>
  <si>
    <t>SUB03</t>
  </si>
  <si>
    <t>SUB04</t>
  </si>
  <si>
    <t>SUB05</t>
  </si>
  <si>
    <t>SUB06</t>
  </si>
  <si>
    <t>SUB07</t>
  </si>
  <si>
    <t>M05</t>
  </si>
  <si>
    <t>BO1</t>
  </si>
  <si>
    <t>M06</t>
  </si>
  <si>
    <t>SUB10</t>
  </si>
  <si>
    <t>SUB11</t>
  </si>
  <si>
    <t>SUB12</t>
  </si>
  <si>
    <t>SUB14</t>
  </si>
  <si>
    <t>DeviceId</t>
  </si>
  <si>
    <t>LNID</t>
  </si>
  <si>
    <t>LNName</t>
  </si>
  <si>
    <t>Block</t>
  </si>
  <si>
    <t>ModbusId</t>
  </si>
  <si>
    <t>Block A - Phải</t>
  </si>
  <si>
    <t>A_15</t>
  </si>
  <si>
    <t>A_16</t>
  </si>
  <si>
    <t>A_17</t>
  </si>
  <si>
    <t>A_18</t>
  </si>
  <si>
    <t>A_19</t>
  </si>
  <si>
    <t>A_20</t>
  </si>
  <si>
    <t>A_21</t>
  </si>
  <si>
    <t>A_22</t>
  </si>
  <si>
    <t>A_23</t>
  </si>
  <si>
    <t>A_24</t>
  </si>
  <si>
    <t>A_25</t>
  </si>
  <si>
    <t>A_26</t>
  </si>
  <si>
    <t>A_27</t>
  </si>
  <si>
    <t>Block A - Trái</t>
  </si>
  <si>
    <t>Block B - Trái (5 lines)</t>
  </si>
  <si>
    <t>Block_C_58</t>
  </si>
  <si>
    <t>Block_C_59</t>
  </si>
  <si>
    <t>Block_C_60</t>
  </si>
  <si>
    <t>Block_C_61</t>
  </si>
  <si>
    <t>Block_C_62</t>
  </si>
  <si>
    <t>Block_C_63</t>
  </si>
  <si>
    <t>Block_C_64</t>
  </si>
  <si>
    <t>Block_C_65</t>
  </si>
  <si>
    <t>Block_C_66</t>
  </si>
  <si>
    <t>Block_C_67</t>
  </si>
  <si>
    <t>Block_C_68</t>
  </si>
  <si>
    <t>Block_C_69</t>
  </si>
  <si>
    <t>Block_C_70</t>
  </si>
  <si>
    <t>Block_C_71</t>
  </si>
  <si>
    <t>Block_C_72</t>
  </si>
  <si>
    <t>Block_C_73</t>
  </si>
  <si>
    <t>Block_C_74</t>
  </si>
  <si>
    <t>Block_C_75</t>
  </si>
  <si>
    <t>Block_C_76</t>
  </si>
  <si>
    <t>Block_C_77</t>
  </si>
  <si>
    <t>Block_C_78</t>
  </si>
  <si>
    <t>Block_C_79</t>
  </si>
  <si>
    <t>Block_C_80</t>
  </si>
  <si>
    <t>Block_C_81</t>
  </si>
  <si>
    <t>Block_C_82</t>
  </si>
  <si>
    <t>Block_C_83</t>
  </si>
  <si>
    <t>Block_C_84</t>
  </si>
  <si>
    <t>Block_C_85</t>
  </si>
  <si>
    <t>Block_C_86</t>
  </si>
  <si>
    <t>Block_C_87</t>
  </si>
  <si>
    <t>Block_C_88</t>
  </si>
  <si>
    <t>Block_C_89</t>
  </si>
  <si>
    <t>Block_C_90</t>
  </si>
  <si>
    <t>Block_C_91</t>
  </si>
  <si>
    <t>Block_C_92</t>
  </si>
  <si>
    <t>Block_C_93</t>
  </si>
  <si>
    <t>Block_C_94</t>
  </si>
  <si>
    <t>Block_C_95</t>
  </si>
  <si>
    <t>Block_C_96</t>
  </si>
  <si>
    <t>Block_C_97</t>
  </si>
  <si>
    <t>Block_C_98</t>
  </si>
  <si>
    <t>Block_C_99</t>
  </si>
  <si>
    <t>Block_C_100</t>
  </si>
  <si>
    <t>Block_C_101</t>
  </si>
  <si>
    <t>Block_C_102</t>
  </si>
  <si>
    <t>Block_C_103</t>
  </si>
  <si>
    <t>Block_C_104</t>
  </si>
  <si>
    <t>Block_C_105</t>
  </si>
  <si>
    <t>Block_C_106</t>
  </si>
  <si>
    <t>Block_C_107</t>
  </si>
  <si>
    <t>Block_C_108</t>
  </si>
  <si>
    <t>Block_C_109</t>
  </si>
  <si>
    <t>Block_C_110</t>
  </si>
  <si>
    <t>Block B (Nhiều line)</t>
  </si>
  <si>
    <t>Block_D_128</t>
  </si>
  <si>
    <t>Block_D_129</t>
  </si>
  <si>
    <t>Block_D_130</t>
  </si>
  <si>
    <t>Block_D_131</t>
  </si>
  <si>
    <t>Block_D_132</t>
  </si>
  <si>
    <t>Block_D_133</t>
  </si>
  <si>
    <t>Block_D_134</t>
  </si>
  <si>
    <t>Block_D_135</t>
  </si>
  <si>
    <t>Block_D_136</t>
  </si>
  <si>
    <t>Block_D_137</t>
  </si>
  <si>
    <t>Block_D_138</t>
  </si>
  <si>
    <t>Block_D_139</t>
  </si>
  <si>
    <t>Block_D_140</t>
  </si>
  <si>
    <t>Block_D_141</t>
  </si>
  <si>
    <t>Block_D_142</t>
  </si>
  <si>
    <t>Block_D_143</t>
  </si>
  <si>
    <t>Block_D_144</t>
  </si>
  <si>
    <t>Block_D_145</t>
  </si>
  <si>
    <t>Block_D_146</t>
  </si>
  <si>
    <t>Block_D_147</t>
  </si>
  <si>
    <t>Block_D_148</t>
  </si>
  <si>
    <t>Block_D_149</t>
  </si>
  <si>
    <t>Block_D_150</t>
  </si>
  <si>
    <t>Block_D_151</t>
  </si>
  <si>
    <t>Block_D_152</t>
  </si>
  <si>
    <t>Block_D_153</t>
  </si>
  <si>
    <t>Block_D_154</t>
  </si>
  <si>
    <t>Block_D_155</t>
  </si>
  <si>
    <t>Block_D_156</t>
  </si>
  <si>
    <t>Block_D_157</t>
  </si>
  <si>
    <t>Block_D_158</t>
  </si>
  <si>
    <t>Block_D_159</t>
  </si>
  <si>
    <t>Block_D_160</t>
  </si>
  <si>
    <t>Block_D_161</t>
  </si>
  <si>
    <t>Block_D_162</t>
  </si>
  <si>
    <t>Block_D_163</t>
  </si>
  <si>
    <t>Block_D_164</t>
  </si>
  <si>
    <t>Block_D_165</t>
  </si>
  <si>
    <t>Block_D_166</t>
  </si>
  <si>
    <t>Block_D_167</t>
  </si>
  <si>
    <t>Block_D_168</t>
  </si>
  <si>
    <t>Block_D_169</t>
  </si>
  <si>
    <t>Block_D_170</t>
  </si>
  <si>
    <t>A_28</t>
  </si>
  <si>
    <t>A_29</t>
  </si>
  <si>
    <t>A_30</t>
  </si>
  <si>
    <t>A_31</t>
  </si>
  <si>
    <t>Block_C_BoSung1</t>
  </si>
  <si>
    <t>Block_C_BoSung2</t>
  </si>
  <si>
    <t>A_32</t>
  </si>
  <si>
    <t>Block_A_BoSung5</t>
  </si>
  <si>
    <t>LNCode</t>
  </si>
  <si>
    <t>IP</t>
  </si>
  <si>
    <t>Port</t>
  </si>
  <si>
    <t>UnitId</t>
  </si>
  <si>
    <t>SignalA_1</t>
  </si>
  <si>
    <t>SignalA_2</t>
  </si>
  <si>
    <t>SignalA_3</t>
  </si>
  <si>
    <t>SignalA_4</t>
  </si>
  <si>
    <t>SignalA_5</t>
  </si>
  <si>
    <t>SignalB_1</t>
  </si>
  <si>
    <t>SignalB_2</t>
  </si>
  <si>
    <t>SignalB_3</t>
  </si>
  <si>
    <t>SignalB_4</t>
  </si>
  <si>
    <t>SignalB_5</t>
  </si>
  <si>
    <t>192.168.68.253</t>
  </si>
  <si>
    <t>2000::2</t>
  </si>
  <si>
    <t>2000::3</t>
  </si>
  <si>
    <t>2000::4</t>
  </si>
  <si>
    <t>2000::5</t>
  </si>
  <si>
    <t>2000::6</t>
  </si>
  <si>
    <t>2000::7</t>
  </si>
  <si>
    <t>2001::8</t>
  </si>
  <si>
    <t>2001::9</t>
  </si>
  <si>
    <t>2001::10</t>
  </si>
  <si>
    <t>2001::11</t>
  </si>
  <si>
    <t>2001::12</t>
  </si>
  <si>
    <t>2001::13</t>
  </si>
  <si>
    <t>2001::14</t>
  </si>
  <si>
    <t>2001::15</t>
  </si>
  <si>
    <t>2001::0</t>
  </si>
  <si>
    <t>2001::1</t>
  </si>
  <si>
    <t>2001::2</t>
  </si>
  <si>
    <t>2001::3</t>
  </si>
  <si>
    <t>2001::4</t>
  </si>
  <si>
    <t>2001::5</t>
  </si>
  <si>
    <t>2001::6</t>
  </si>
  <si>
    <t>2001::7</t>
  </si>
  <si>
    <t>2002::8</t>
  </si>
  <si>
    <t>2002::9</t>
  </si>
  <si>
    <t>2002::10</t>
  </si>
  <si>
    <t>2002::11</t>
  </si>
  <si>
    <t>2002::12</t>
  </si>
  <si>
    <t>2002::13</t>
  </si>
  <si>
    <t>2002::14</t>
  </si>
  <si>
    <t>2002::15</t>
  </si>
  <si>
    <t>2002::0</t>
  </si>
  <si>
    <t>2002::1</t>
  </si>
  <si>
    <t>2002::2</t>
  </si>
  <si>
    <t>2002::3</t>
  </si>
  <si>
    <t>2002::4</t>
  </si>
  <si>
    <t>2002::5</t>
  </si>
  <si>
    <t>2002::6</t>
  </si>
  <si>
    <t>2002::7</t>
  </si>
  <si>
    <t>2003::8</t>
  </si>
  <si>
    <t>2003::9</t>
  </si>
  <si>
    <t>2003::10</t>
  </si>
  <si>
    <t>2003::11</t>
  </si>
  <si>
    <t>2003::12</t>
  </si>
  <si>
    <t>2003::13</t>
  </si>
  <si>
    <t>2003::14</t>
  </si>
  <si>
    <t>2003::15</t>
  </si>
  <si>
    <t>2003::0</t>
  </si>
  <si>
    <t>2003::1</t>
  </si>
  <si>
    <t>2003::2</t>
  </si>
  <si>
    <t>2003::3</t>
  </si>
  <si>
    <t>192.168.68.254</t>
  </si>
  <si>
    <t>2000::8</t>
  </si>
  <si>
    <t>2000::9</t>
  </si>
  <si>
    <t>2000::10</t>
  </si>
  <si>
    <t>2000::11</t>
  </si>
  <si>
    <t>2000::12</t>
  </si>
  <si>
    <t>2000::13</t>
  </si>
  <si>
    <t>2000::14</t>
  </si>
  <si>
    <t>2000::15</t>
  </si>
  <si>
    <t>2000::0</t>
  </si>
  <si>
    <t>2000::1</t>
  </si>
  <si>
    <t>192.168.69.254</t>
  </si>
  <si>
    <t>192.168.69.253</t>
  </si>
  <si>
    <t>192.168.68.252</t>
  </si>
  <si>
    <t>192.168.68.249</t>
  </si>
  <si>
    <t>192.168.68.247</t>
  </si>
  <si>
    <t>192.168.68.248</t>
  </si>
  <si>
    <t>192.168.68.250</t>
  </si>
  <si>
    <t>192.168.68.251</t>
  </si>
  <si>
    <t>Line name</t>
  </si>
  <si>
    <t>ID</t>
  </si>
  <si>
    <t>A</t>
  </si>
  <si>
    <t>B</t>
  </si>
  <si>
    <t>Block B2</t>
  </si>
  <si>
    <t>Block B3</t>
  </si>
  <si>
    <t>Block B4</t>
  </si>
  <si>
    <t>B1</t>
  </si>
  <si>
    <t>B3</t>
  </si>
  <si>
    <t>Block B_1</t>
  </si>
  <si>
    <t>Block A_3</t>
  </si>
  <si>
    <t>Block A_2</t>
  </si>
  <si>
    <t>Block B_2</t>
  </si>
  <si>
    <t>Block A</t>
  </si>
  <si>
    <t>Line:</t>
  </si>
  <si>
    <t>LNIDs_247</t>
  </si>
  <si>
    <t>LNIDs_248</t>
  </si>
  <si>
    <t>LNIDs_249</t>
  </si>
  <si>
    <t>LNIDs_250</t>
  </si>
  <si>
    <t>LNIDs_251</t>
  </si>
  <si>
    <t>LNIDs_252</t>
  </si>
  <si>
    <t>LNIDs_253</t>
  </si>
  <si>
    <t>LNIDs_254</t>
  </si>
  <si>
    <t>Block B</t>
  </si>
  <si>
    <t>192.168.72.40</t>
  </si>
  <si>
    <t>192.168.72.41</t>
  </si>
  <si>
    <t>LNIDs_43</t>
  </si>
  <si>
    <t>LNIDs_44</t>
  </si>
  <si>
    <t>LNIDs_40</t>
  </si>
  <si>
    <t>LNIDs_41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</si>
</sst>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FFFF"/>
      </patternFill>
    </fill>
    <fill>
      <patternFill patternType="solid">
        <fgColor rgb="FF008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31869B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rgb="FF76933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9" fillId="16" borderId="12" applyNumberFormat="0" applyAlignment="0" applyProtection="0"/>
    <xf numFmtId="0" fontId="5" fillId="17" borderId="13" applyNumberFormat="0" applyFont="0" applyAlignment="0" applyProtection="0"/>
    <xf numFmtId="0" fontId="10" fillId="0" borderId="0" applyBorder="0"/>
  </cellStyleXfs>
  <cellXfs count="15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1" fillId="3" borderId="4" xfId="0" applyFont="1" applyFill="1" applyBorder="1"/>
    <xf numFmtId="0" fontId="1" fillId="3" borderId="0" xfId="0" applyFont="1" applyFill="1"/>
    <xf numFmtId="0" fontId="1" fillId="3" borderId="5" xfId="0" applyFont="1" applyFill="1" applyBorder="1"/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5" borderId="7" xfId="0" applyFill="1" applyBorder="1"/>
    <xf numFmtId="0" fontId="0" fillId="6" borderId="7" xfId="0" applyFill="1" applyBorder="1"/>
    <xf numFmtId="0" fontId="0" fillId="0" borderId="0" xfId="0" applyAlignment="1">
      <alignment horizontal="center"/>
    </xf>
    <xf numFmtId="0" fontId="0" fillId="0" borderId="8" xfId="0" applyBorder="1"/>
    <xf numFmtId="0" fontId="0" fillId="0" borderId="9" xfId="0" applyBorder="1"/>
    <xf numFmtId="0" fontId="0" fillId="7" borderId="4" xfId="0" applyFill="1" applyBorder="1"/>
    <xf numFmtId="0" fontId="0" fillId="7" borderId="0" xfId="0" applyFill="1"/>
    <xf numFmtId="0" fontId="0" fillId="7" borderId="5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9" xfId="0" applyFill="1" applyBorder="1"/>
    <xf numFmtId="0" fontId="0" fillId="7" borderId="8" xfId="0" applyFill="1" applyBorder="1"/>
    <xf numFmtId="0" fontId="0" fillId="7" borderId="6" xfId="0" applyFill="1" applyBorder="1"/>
    <xf numFmtId="0" fontId="0" fillId="7" borderId="9" xfId="0" applyFill="1" applyBorder="1"/>
    <xf numFmtId="0" fontId="1" fillId="3" borderId="8" xfId="0" applyFont="1" applyFill="1" applyBorder="1"/>
    <xf numFmtId="0" fontId="1" fillId="3" borderId="6" xfId="0" applyFont="1" applyFill="1" applyBorder="1"/>
    <xf numFmtId="0" fontId="1" fillId="3" borderId="9" xfId="0" applyFont="1" applyFill="1" applyBorder="1"/>
    <xf numFmtId="0" fontId="0" fillId="0" borderId="10" xfId="0" applyBorder="1"/>
    <xf numFmtId="0" fontId="2" fillId="3" borderId="0" xfId="0" applyFont="1" applyFill="1" applyAlignment="1">
      <alignment vertical="center" wrapText="1"/>
    </xf>
    <xf numFmtId="0" fontId="0" fillId="8" borderId="4" xfId="0" applyFill="1" applyBorder="1"/>
    <xf numFmtId="0" fontId="0" fillId="8" borderId="0" xfId="0" applyFill="1"/>
    <xf numFmtId="0" fontId="0" fillId="8" borderId="5" xfId="0" applyFill="1" applyBorder="1"/>
    <xf numFmtId="0" fontId="0" fillId="0" borderId="0" xfId="0" applyFill="1" applyAlignment="1">
      <alignment wrapText="1"/>
    </xf>
    <xf numFmtId="0" fontId="0" fillId="8" borderId="8" xfId="0" applyFill="1" applyBorder="1"/>
    <xf numFmtId="0" fontId="0" fillId="8" borderId="6" xfId="0" applyFill="1" applyBorder="1"/>
    <xf numFmtId="0" fontId="0" fillId="8" borderId="9" xfId="0" applyFill="1" applyBorder="1"/>
    <xf numFmtId="0" fontId="0" fillId="0" borderId="11" xfId="0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0" fillId="9" borderId="0" xfId="0" applyFill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0" fillId="8" borderId="0" xfId="0" applyFill="1" applyAlignment="1">
      <alignment wrapText="1"/>
    </xf>
    <xf numFmtId="0" fontId="0" fillId="8" borderId="5" xfId="0" applyFill="1" applyBorder="1" applyAlignment="1">
      <alignment wrapText="1"/>
    </xf>
    <xf numFmtId="0" fontId="0" fillId="0" borderId="7" xfId="0" applyBorder="1"/>
    <xf numFmtId="0" fontId="1" fillId="0" borderId="8" xfId="0" applyFont="1" applyBorder="1"/>
    <xf numFmtId="0" fontId="1" fillId="0" borderId="6" xfId="0" applyFont="1" applyBorder="1"/>
    <xf numFmtId="0" fontId="1" fillId="0" borderId="9" xfId="0" applyFont="1" applyBorder="1"/>
    <xf numFmtId="0" fontId="0" fillId="9" borderId="8" xfId="0" applyFill="1" applyBorder="1"/>
    <xf numFmtId="0" fontId="0" fillId="9" borderId="6" xfId="0" applyFill="1" applyBorder="1"/>
    <xf numFmtId="0" fontId="0" fillId="9" borderId="9" xfId="0" applyFill="1" applyBorder="1"/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0" fillId="10" borderId="7" xfId="0" applyFill="1" applyBorder="1"/>
    <xf numFmtId="0" fontId="0" fillId="11" borderId="0" xfId="0" applyFill="1"/>
    <xf numFmtId="0" fontId="0" fillId="2" borderId="5" xfId="0" applyFill="1" applyBorder="1" applyAlignment="1">
      <alignment wrapText="1"/>
    </xf>
    <xf numFmtId="0" fontId="0" fillId="2" borderId="0" xfId="0" applyFill="1" applyAlignment="1">
      <alignment wrapText="1"/>
    </xf>
    <xf numFmtId="0" fontId="0" fillId="2" borderId="8" xfId="0" applyFill="1" applyBorder="1"/>
    <xf numFmtId="0" fontId="0" fillId="2" borderId="6" xfId="0" applyFill="1" applyBorder="1"/>
    <xf numFmtId="0" fontId="0" fillId="2" borderId="9" xfId="0" applyFill="1" applyBorder="1"/>
    <xf numFmtId="0" fontId="0" fillId="12" borderId="0" xfId="0" applyFill="1"/>
    <xf numFmtId="0" fontId="10" fillId="0" borderId="0" xfId="6" applyNumberFormat="1" applyFill="1" applyAlignment="1" applyProtection="1"/>
    <xf numFmtId="0" fontId="11" fillId="18" borderId="0" xfId="6" applyNumberFormat="1" applyFont="1" applyFill="1" applyAlignment="1" applyProtection="1"/>
    <xf numFmtId="0" fontId="11" fillId="19" borderId="0" xfId="6" applyNumberFormat="1" applyFont="1" applyFill="1" applyAlignment="1" applyProtection="1"/>
    <xf numFmtId="0" fontId="11" fillId="19" borderId="0" xfId="0" applyFont="1" applyFill="1"/>
    <xf numFmtId="0" fontId="11" fillId="19" borderId="0" xfId="0" applyFont="1" applyFill="1" applyBorder="1"/>
    <xf numFmtId="0" fontId="0" fillId="17" borderId="13" xfId="5" applyFont="1"/>
    <xf numFmtId="0" fontId="0" fillId="17" borderId="13" xfId="5" applyFont="1" applyAlignment="1">
      <alignment horizontal="center"/>
    </xf>
    <xf numFmtId="0" fontId="6" fillId="13" borderId="0" xfId="1"/>
    <xf numFmtId="0" fontId="6" fillId="13" borderId="0" xfId="1" applyBorder="1" applyAlignment="1">
      <alignment horizontal="center"/>
    </xf>
    <xf numFmtId="0" fontId="8" fillId="15" borderId="0" xfId="3"/>
    <xf numFmtId="0" fontId="8" fillId="15" borderId="0" xfId="3" applyBorder="1" applyAlignment="1">
      <alignment horizontal="center"/>
    </xf>
    <xf numFmtId="0" fontId="7" fillId="14" borderId="0" xfId="2"/>
    <xf numFmtId="0" fontId="7" fillId="14" borderId="0" xfId="2" applyBorder="1" applyAlignment="1">
      <alignment horizontal="center"/>
    </xf>
    <xf numFmtId="0" fontId="6" fillId="13" borderId="0" xfId="1" applyBorder="1"/>
    <xf numFmtId="0" fontId="8" fillId="15" borderId="0" xfId="3" applyBorder="1"/>
    <xf numFmtId="0" fontId="9" fillId="16" borderId="0" xfId="4" applyBorder="1"/>
    <xf numFmtId="0" fontId="7" fillId="14" borderId="0" xfId="2" applyBorder="1"/>
    <xf numFmtId="0" fontId="0" fillId="0" borderId="0" xfId="0" applyFill="1"/>
    <xf numFmtId="0" fontId="9" fillId="16" borderId="0" xfId="4" applyBorder="1" applyAlignment="1">
      <alignment horizontal="center"/>
    </xf>
    <xf numFmtId="0" fontId="0" fillId="20" borderId="0" xfId="0" applyFill="1"/>
    <xf numFmtId="0" fontId="0" fillId="21" borderId="0" xfId="0" applyFill="1"/>
    <xf numFmtId="0" fontId="10" fillId="21" borderId="0" xfId="6" applyNumberFormat="1" applyFill="1" applyAlignment="1" applyProtection="1"/>
    <xf numFmtId="0" fontId="10" fillId="2" borderId="0" xfId="6" applyNumberFormat="1" applyFill="1" applyAlignment="1" applyProtection="1"/>
    <xf numFmtId="0" fontId="0" fillId="22" borderId="0" xfId="0" applyFill="1"/>
    <xf numFmtId="0" fontId="10" fillId="22" borderId="0" xfId="6" applyNumberFormat="1" applyFill="1" applyAlignment="1" applyProtection="1"/>
    <xf numFmtId="0" fontId="10" fillId="11" borderId="0" xfId="6" applyNumberFormat="1" applyFill="1" applyAlignment="1" applyProtection="1"/>
    <xf numFmtId="0" fontId="0" fillId="0" borderId="0" xfId="0" applyAlignment="1">
      <alignment horizontal="right"/>
    </xf>
    <xf numFmtId="0" fontId="13" fillId="0" borderId="0" xfId="0" applyFont="1"/>
    <xf numFmtId="0" fontId="13" fillId="23" borderId="0" xfId="0" applyFont="1" applyFill="1"/>
    <xf numFmtId="0" fontId="12" fillId="23" borderId="0" xfId="0" applyFont="1" applyFill="1"/>
    <xf numFmtId="0" fontId="13" fillId="24" borderId="0" xfId="0" applyFont="1" applyFill="1"/>
    <xf numFmtId="0" fontId="12" fillId="24" borderId="0" xfId="0" applyFont="1" applyFill="1"/>
    <xf numFmtId="0" fontId="13" fillId="25" borderId="0" xfId="0" applyFont="1" applyFill="1"/>
    <xf numFmtId="0" fontId="12" fillId="25" borderId="0" xfId="0" applyFont="1" applyFill="1"/>
    <xf numFmtId="0" fontId="13" fillId="26" borderId="0" xfId="0" applyFont="1" applyFill="1"/>
    <xf numFmtId="0" fontId="12" fillId="26" borderId="0" xfId="0" applyFont="1" applyFill="1"/>
    <xf numFmtId="0" fontId="13" fillId="27" borderId="0" xfId="0" applyFont="1" applyFill="1"/>
    <xf numFmtId="0" fontId="12" fillId="27" borderId="0" xfId="0" applyFont="1" applyFill="1"/>
    <xf numFmtId="0" fontId="13" fillId="28" borderId="0" xfId="0" applyFont="1" applyFill="1"/>
    <xf numFmtId="0" fontId="12" fillId="28" borderId="0" xfId="0" applyFont="1" applyFill="1"/>
    <xf numFmtId="0" fontId="13" fillId="29" borderId="0" xfId="0" applyFont="1" applyFill="1"/>
    <xf numFmtId="0" fontId="12" fillId="29" borderId="0" xfId="0" applyFont="1" applyFill="1"/>
    <xf numFmtId="0" fontId="13" fillId="30" borderId="0" xfId="0" applyFont="1" applyFill="1"/>
    <xf numFmtId="0" fontId="12" fillId="30" borderId="0" xfId="0" applyFont="1" applyFill="1"/>
    <xf numFmtId="0" fontId="13" fillId="31" borderId="0" xfId="0" applyFont="1" applyFill="1"/>
    <xf numFmtId="0" fontId="12" fillId="31" borderId="0" xfId="0" applyFont="1" applyFill="1"/>
    <xf numFmtId="0" fontId="13" fillId="32" borderId="0" xfId="0" applyFont="1" applyFill="1"/>
    <xf numFmtId="0" fontId="12" fillId="32" borderId="0" xfId="0" applyFont="1" applyFill="1"/>
    <xf numFmtId="0" fontId="7" fillId="21" borderId="0" xfId="2" applyFill="1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 wrapText="1"/>
    </xf>
    <xf numFmtId="0" fontId="0" fillId="4" borderId="0" xfId="0" applyFill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 applyProtection="1">
      <alignment horizont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wrapText="1"/>
    </xf>
    <xf numFmtId="0" fontId="12" fillId="0" borderId="0" xfId="0" applyFont="1"/>
  </cellXfs>
  <cellStyles count="7">
    <cellStyle name="Bad" xfId="2" builtinId="27"/>
    <cellStyle name="Good" xfId="1" builtinId="26"/>
    <cellStyle name="Input" xfId="4" builtinId="20"/>
    <cellStyle name="Neutral" xfId="3" builtinId="28"/>
    <cellStyle name="Normal" xfId="0" builtinId="0"/>
    <cellStyle name="Normal 2" xfId="6"/>
    <cellStyle name="Note" xfId="5" builtinId="10"/>
  </cellStyles>
  <dxfs count="0"/>
  <tableStyles count="0" defaultTableStyle="TableStyleMedium2" defaultPivotStyle="PivotStyleMedium9"/>
  <colors>
    <mruColors>
      <color rgb="FFE0E9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21647</xdr:colOff>
      <xdr:row>31</xdr:row>
      <xdr:rowOff>43295</xdr:rowOff>
    </xdr:from>
    <xdr:to>
      <xdr:col>23</xdr:col>
      <xdr:colOff>134146</xdr:colOff>
      <xdr:row>33</xdr:row>
      <xdr:rowOff>138268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3279197" y="5948795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0</xdr:colOff>
      <xdr:row>31</xdr:row>
      <xdr:rowOff>0</xdr:rowOff>
    </xdr:from>
    <xdr:to>
      <xdr:col>79</xdr:col>
      <xdr:colOff>112499</xdr:colOff>
      <xdr:row>33</xdr:row>
      <xdr:rowOff>94973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3392150" y="5905500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133</xdr:col>
      <xdr:colOff>0</xdr:colOff>
      <xdr:row>31</xdr:row>
      <xdr:rowOff>0</xdr:rowOff>
    </xdr:from>
    <xdr:to>
      <xdr:col>138</xdr:col>
      <xdr:colOff>112499</xdr:colOff>
      <xdr:row>33</xdr:row>
      <xdr:rowOff>94973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24069675" y="5905500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21648</xdr:colOff>
      <xdr:row>30</xdr:row>
      <xdr:rowOff>173181</xdr:rowOff>
    </xdr:from>
    <xdr:to>
      <xdr:col>185</xdr:col>
      <xdr:colOff>134147</xdr:colOff>
      <xdr:row>33</xdr:row>
      <xdr:rowOff>73324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32597148" y="5888181"/>
          <a:ext cx="1017374" cy="4716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226</xdr:col>
      <xdr:colOff>0</xdr:colOff>
      <xdr:row>31</xdr:row>
      <xdr:rowOff>0</xdr:rowOff>
    </xdr:from>
    <xdr:to>
      <xdr:col>231</xdr:col>
      <xdr:colOff>112499</xdr:colOff>
      <xdr:row>33</xdr:row>
      <xdr:rowOff>94973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40900350" y="5905500"/>
          <a:ext cx="1017374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273</xdr:col>
      <xdr:colOff>86591</xdr:colOff>
      <xdr:row>31</xdr:row>
      <xdr:rowOff>21647</xdr:rowOff>
    </xdr:from>
    <xdr:to>
      <xdr:col>279</xdr:col>
      <xdr:colOff>25908</xdr:colOff>
      <xdr:row>33</xdr:row>
      <xdr:rowOff>116620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49492766" y="5927147"/>
          <a:ext cx="1025167" cy="4759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160297</xdr:colOff>
      <xdr:row>13</xdr:row>
      <xdr:rowOff>77828</xdr:rowOff>
    </xdr:from>
    <xdr:to>
      <xdr:col>116</xdr:col>
      <xdr:colOff>125383</xdr:colOff>
      <xdr:row>18</xdr:row>
      <xdr:rowOff>82088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 rot="5400000">
          <a:off x="20386098" y="2778702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169060</xdr:colOff>
      <xdr:row>44</xdr:row>
      <xdr:rowOff>134008</xdr:rowOff>
    </xdr:from>
    <xdr:to>
      <xdr:col>116</xdr:col>
      <xdr:colOff>134146</xdr:colOff>
      <xdr:row>49</xdr:row>
      <xdr:rowOff>138268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 rot="5400000">
          <a:off x="20394861" y="8740382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21647</xdr:colOff>
      <xdr:row>13</xdr:row>
      <xdr:rowOff>21648</xdr:rowOff>
    </xdr:from>
    <xdr:to>
      <xdr:col>217</xdr:col>
      <xdr:colOff>159915</xdr:colOff>
      <xdr:row>18</xdr:row>
      <xdr:rowOff>25908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 rot="5400000">
          <a:off x="38703001" y="2726419"/>
          <a:ext cx="956760" cy="5002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109104</xdr:colOff>
      <xdr:row>43</xdr:row>
      <xdr:rowOff>65810</xdr:rowOff>
    </xdr:from>
    <xdr:to>
      <xdr:col>218</xdr:col>
      <xdr:colOff>74191</xdr:colOff>
      <xdr:row>48</xdr:row>
      <xdr:rowOff>70070</xdr:rowOff>
    </xdr:to>
    <xdr:sp macro="" textlink="">
      <xdr:nvSpPr>
        <xdr:cNvPr id="11" name="Right Arrow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 rot="5400000">
          <a:off x="38794355" y="8481684"/>
          <a:ext cx="956760" cy="50801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129887</xdr:colOff>
      <xdr:row>11</xdr:row>
      <xdr:rowOff>129885</xdr:rowOff>
    </xdr:from>
    <xdr:to>
      <xdr:col>13</xdr:col>
      <xdr:colOff>94973</xdr:colOff>
      <xdr:row>16</xdr:row>
      <xdr:rowOff>134145</xdr:rowOff>
    </xdr:to>
    <xdr:sp macro="" textlink="">
      <xdr:nvSpPr>
        <xdr:cNvPr id="12" name="Right Arrow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 rot="5400000">
          <a:off x="1715263" y="2449759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45</xdr:row>
      <xdr:rowOff>22512</xdr:rowOff>
    </xdr:from>
    <xdr:to>
      <xdr:col>13</xdr:col>
      <xdr:colOff>117486</xdr:colOff>
      <xdr:row>50</xdr:row>
      <xdr:rowOff>26773</xdr:rowOff>
    </xdr:to>
    <xdr:sp macro="" textlink="">
      <xdr:nvSpPr>
        <xdr:cNvPr id="13" name="Right Arrow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 rot="5400000">
          <a:off x="1737775" y="8819387"/>
          <a:ext cx="956761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304</xdr:col>
      <xdr:colOff>151534</xdr:colOff>
      <xdr:row>13</xdr:row>
      <xdr:rowOff>108238</xdr:rowOff>
    </xdr:from>
    <xdr:to>
      <xdr:col>307</xdr:col>
      <xdr:colOff>116621</xdr:colOff>
      <xdr:row>18</xdr:row>
      <xdr:rowOff>112498</xdr:rowOff>
    </xdr:to>
    <xdr:sp macro="" textlink="">
      <xdr:nvSpPr>
        <xdr:cNvPr id="14" name="Right Arrow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 rot="5400000">
          <a:off x="54943560" y="2809112"/>
          <a:ext cx="956760" cy="50801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304</xdr:col>
      <xdr:colOff>44162</xdr:colOff>
      <xdr:row>45</xdr:row>
      <xdr:rowOff>864</xdr:rowOff>
    </xdr:from>
    <xdr:to>
      <xdr:col>307</xdr:col>
      <xdr:colOff>9249</xdr:colOff>
      <xdr:row>50</xdr:row>
      <xdr:rowOff>5125</xdr:rowOff>
    </xdr:to>
    <xdr:sp macro="" textlink="">
      <xdr:nvSpPr>
        <xdr:cNvPr id="15" name="Right Arrow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 rot="5400000">
          <a:off x="54836187" y="8797739"/>
          <a:ext cx="956761" cy="50801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86591</xdr:colOff>
      <xdr:row>99</xdr:row>
      <xdr:rowOff>160812</xdr:rowOff>
    </xdr:from>
    <xdr:to>
      <xdr:col>13</xdr:col>
      <xdr:colOff>51677</xdr:colOff>
      <xdr:row>104</xdr:row>
      <xdr:rowOff>165072</xdr:rowOff>
    </xdr:to>
    <xdr:sp macro="" textlink="">
      <xdr:nvSpPr>
        <xdr:cNvPr id="16" name="Right Arrow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 rot="5400000">
          <a:off x="1671967" y="19244686"/>
          <a:ext cx="956760" cy="5080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98961</xdr:colOff>
      <xdr:row>133</xdr:row>
      <xdr:rowOff>123702</xdr:rowOff>
    </xdr:from>
    <xdr:to>
      <xdr:col>13</xdr:col>
      <xdr:colOff>17659</xdr:colOff>
      <xdr:row>139</xdr:row>
      <xdr:rowOff>35185</xdr:rowOff>
    </xdr:to>
    <xdr:sp macro="" textlink="">
      <xdr:nvSpPr>
        <xdr:cNvPr id="17" name="Right Arrow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 rot="5400000">
          <a:off x="1612281" y="25756632"/>
          <a:ext cx="1054483" cy="46162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114</xdr:col>
      <xdr:colOff>0</xdr:colOff>
      <xdr:row>101</xdr:row>
      <xdr:rowOff>0</xdr:rowOff>
    </xdr:from>
    <xdr:to>
      <xdr:col>116</xdr:col>
      <xdr:colOff>104250</xdr:colOff>
      <xdr:row>106</xdr:row>
      <xdr:rowOff>97036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 rot="5400000">
          <a:off x="20339482" y="19532168"/>
          <a:ext cx="1049536" cy="46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148442</xdr:colOff>
      <xdr:row>134</xdr:row>
      <xdr:rowOff>49482</xdr:rowOff>
    </xdr:from>
    <xdr:to>
      <xdr:col>116</xdr:col>
      <xdr:colOff>67140</xdr:colOff>
      <xdr:row>139</xdr:row>
      <xdr:rowOff>146517</xdr:rowOff>
    </xdr:to>
    <xdr:sp macro="" textlink="">
      <xdr:nvSpPr>
        <xdr:cNvPr id="19" name="Right Arrow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 rot="5400000">
          <a:off x="20304661" y="25870438"/>
          <a:ext cx="1049535" cy="46162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49481</xdr:colOff>
      <xdr:row>100</xdr:row>
      <xdr:rowOff>98962</xdr:rowOff>
    </xdr:from>
    <xdr:to>
      <xdr:col>217</xdr:col>
      <xdr:colOff>153731</xdr:colOff>
      <xdr:row>106</xdr:row>
      <xdr:rowOff>10446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 rot="5400000">
          <a:off x="38664964" y="19443104"/>
          <a:ext cx="1054484" cy="46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215</xdr:col>
      <xdr:colOff>12371</xdr:colOff>
      <xdr:row>134</xdr:row>
      <xdr:rowOff>148442</xdr:rowOff>
    </xdr:from>
    <xdr:to>
      <xdr:col>217</xdr:col>
      <xdr:colOff>116621</xdr:colOff>
      <xdr:row>140</xdr:row>
      <xdr:rowOff>59925</xdr:rowOff>
    </xdr:to>
    <xdr:sp macro="" textlink="">
      <xdr:nvSpPr>
        <xdr:cNvPr id="21" name="Right Arrow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 rot="5400000">
          <a:off x="38627854" y="25969584"/>
          <a:ext cx="1054483" cy="46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305</xdr:col>
      <xdr:colOff>0</xdr:colOff>
      <xdr:row>102</xdr:row>
      <xdr:rowOff>0</xdr:rowOff>
    </xdr:from>
    <xdr:to>
      <xdr:col>307</xdr:col>
      <xdr:colOff>100128</xdr:colOff>
      <xdr:row>107</xdr:row>
      <xdr:rowOff>92911</xdr:rowOff>
    </xdr:to>
    <xdr:sp macro="" textlink="">
      <xdr:nvSpPr>
        <xdr:cNvPr id="22" name="Right Arrow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 rot="5400000">
          <a:off x="54905708" y="19722667"/>
          <a:ext cx="1045411" cy="46207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305</xdr:col>
      <xdr:colOff>0</xdr:colOff>
      <xdr:row>134</xdr:row>
      <xdr:rowOff>0</xdr:rowOff>
    </xdr:from>
    <xdr:to>
      <xdr:col>307</xdr:col>
      <xdr:colOff>112497</xdr:colOff>
      <xdr:row>139</xdr:row>
      <xdr:rowOff>117653</xdr:rowOff>
    </xdr:to>
    <xdr:sp macro="" textlink="">
      <xdr:nvSpPr>
        <xdr:cNvPr id="23" name="Right Arrow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 rot="5400000">
          <a:off x="54899522" y="25824853"/>
          <a:ext cx="1070153" cy="47444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153629</xdr:colOff>
      <xdr:row>120</xdr:row>
      <xdr:rowOff>0</xdr:rowOff>
    </xdr:from>
    <xdr:to>
      <xdr:col>70</xdr:col>
      <xdr:colOff>81773</xdr:colOff>
      <xdr:row>122</xdr:row>
      <xdr:rowOff>94974</xdr:rowOff>
    </xdr:to>
    <xdr:sp macro="" textlink="">
      <xdr:nvSpPr>
        <xdr:cNvPr id="24" name="Right Arrow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1736029" y="22860000"/>
          <a:ext cx="1013994" cy="47597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30726</xdr:colOff>
      <xdr:row>120</xdr:row>
      <xdr:rowOff>92176</xdr:rowOff>
    </xdr:from>
    <xdr:to>
      <xdr:col>168</xdr:col>
      <xdr:colOff>57632</xdr:colOff>
      <xdr:row>123</xdr:row>
      <xdr:rowOff>42300</xdr:rowOff>
    </xdr:to>
    <xdr:sp macro="" textlink="">
      <xdr:nvSpPr>
        <xdr:cNvPr id="25" name="Right Arrow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29348676" y="22952176"/>
          <a:ext cx="1112756" cy="5216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258</xdr:col>
      <xdr:colOff>122904</xdr:colOff>
      <xdr:row>119</xdr:row>
      <xdr:rowOff>153629</xdr:rowOff>
    </xdr:from>
    <xdr:to>
      <xdr:col>264</xdr:col>
      <xdr:colOff>149810</xdr:colOff>
      <xdr:row>122</xdr:row>
      <xdr:rowOff>103753</xdr:rowOff>
    </xdr:to>
    <xdr:sp macro="" textlink="">
      <xdr:nvSpPr>
        <xdr:cNvPr id="26" name="Right Arrow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46814454" y="22823129"/>
          <a:ext cx="1112756" cy="5216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111</xdr:col>
      <xdr:colOff>138714</xdr:colOff>
      <xdr:row>127</xdr:row>
      <xdr:rowOff>184949</xdr:rowOff>
    </xdr:from>
    <xdr:to>
      <xdr:col>118</xdr:col>
      <xdr:colOff>103283</xdr:colOff>
      <xdr:row>132</xdr:row>
      <xdr:rowOff>103282</xdr:rowOff>
    </xdr:to>
    <xdr:sp macro="" textlink="">
      <xdr:nvSpPr>
        <xdr:cNvPr id="27" name="Line Callout 2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20519919" y="24961425"/>
          <a:ext cx="1249870" cy="89378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Smart Andon</a:t>
          </a:r>
          <a:br>
            <a:rPr lang="en-US" sz="1100" baseline="0">
              <a:solidFill>
                <a:srgbClr val="FF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192.168.72.40</a:t>
          </a:r>
          <a:br>
            <a:rPr lang="en-US" sz="1100" baseline="0">
              <a:solidFill>
                <a:sysClr val="windowText" lastClr="00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192.168.72.41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62</xdr:col>
      <xdr:colOff>129467</xdr:colOff>
      <xdr:row>138</xdr:row>
      <xdr:rowOff>175703</xdr:rowOff>
    </xdr:from>
    <xdr:to>
      <xdr:col>66</xdr:col>
      <xdr:colOff>83229</xdr:colOff>
      <xdr:row>141</xdr:row>
      <xdr:rowOff>46237</xdr:rowOff>
    </xdr:to>
    <xdr:sp macro="" textlink="">
      <xdr:nvSpPr>
        <xdr:cNvPr id="28" name="Line Callout 2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349917" y="26464703"/>
          <a:ext cx="677662" cy="47060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27742</xdr:colOff>
      <xdr:row>138</xdr:row>
      <xdr:rowOff>157209</xdr:rowOff>
    </xdr:from>
    <xdr:to>
      <xdr:col>128</xdr:col>
      <xdr:colOff>166456</xdr:colOff>
      <xdr:row>141</xdr:row>
      <xdr:rowOff>27743</xdr:rowOff>
    </xdr:to>
    <xdr:sp macro="" textlink="">
      <xdr:nvSpPr>
        <xdr:cNvPr id="29" name="Line Callout 2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22649617" y="26446209"/>
          <a:ext cx="681639" cy="47060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78</xdr:col>
      <xdr:colOff>119062</xdr:colOff>
      <xdr:row>49</xdr:row>
      <xdr:rowOff>91587</xdr:rowOff>
    </xdr:from>
    <xdr:to>
      <xdr:col>82</xdr:col>
      <xdr:colOff>72824</xdr:colOff>
      <xdr:row>51</xdr:row>
      <xdr:rowOff>181929</xdr:rowOff>
    </xdr:to>
    <xdr:sp macro="" textlink="">
      <xdr:nvSpPr>
        <xdr:cNvPr id="30" name="Line Callout 2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4235112" y="9426087"/>
          <a:ext cx="677662" cy="47134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91587</xdr:colOff>
      <xdr:row>49</xdr:row>
      <xdr:rowOff>128221</xdr:rowOff>
    </xdr:from>
    <xdr:to>
      <xdr:col>103</xdr:col>
      <xdr:colOff>45349</xdr:colOff>
      <xdr:row>52</xdr:row>
      <xdr:rowOff>26231</xdr:rowOff>
    </xdr:to>
    <xdr:sp macro="" textlink="">
      <xdr:nvSpPr>
        <xdr:cNvPr id="31" name="Line Callout 2 30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8008112" y="9462721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167</xdr:col>
      <xdr:colOff>47625</xdr:colOff>
      <xdr:row>49</xdr:row>
      <xdr:rowOff>95250</xdr:rowOff>
    </xdr:from>
    <xdr:to>
      <xdr:col>171</xdr:col>
      <xdr:colOff>1387</xdr:colOff>
      <xdr:row>51</xdr:row>
      <xdr:rowOff>183760</xdr:rowOff>
    </xdr:to>
    <xdr:sp macro="" textlink="">
      <xdr:nvSpPr>
        <xdr:cNvPr id="32" name="Line Callout 2 31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30270450" y="9429750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225</xdr:col>
      <xdr:colOff>142875</xdr:colOff>
      <xdr:row>48</xdr:row>
      <xdr:rowOff>66675</xdr:rowOff>
    </xdr:from>
    <xdr:to>
      <xdr:col>229</xdr:col>
      <xdr:colOff>96637</xdr:colOff>
      <xdr:row>50</xdr:row>
      <xdr:rowOff>155185</xdr:rowOff>
    </xdr:to>
    <xdr:sp macro="" textlink="">
      <xdr:nvSpPr>
        <xdr:cNvPr id="33" name="Line Callout 2 32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40862250" y="9210675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255</xdr:col>
      <xdr:colOff>104775</xdr:colOff>
      <xdr:row>48</xdr:row>
      <xdr:rowOff>104775</xdr:rowOff>
    </xdr:from>
    <xdr:to>
      <xdr:col>259</xdr:col>
      <xdr:colOff>58537</xdr:colOff>
      <xdr:row>51</xdr:row>
      <xdr:rowOff>2785</xdr:rowOff>
    </xdr:to>
    <xdr:sp macro="" textlink="">
      <xdr:nvSpPr>
        <xdr:cNvPr id="34" name="Line Callout 2 33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46253400" y="9248775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291</xdr:col>
      <xdr:colOff>47625</xdr:colOff>
      <xdr:row>48</xdr:row>
      <xdr:rowOff>76200</xdr:rowOff>
    </xdr:from>
    <xdr:to>
      <xdr:col>295</xdr:col>
      <xdr:colOff>1387</xdr:colOff>
      <xdr:row>50</xdr:row>
      <xdr:rowOff>164710</xdr:rowOff>
    </xdr:to>
    <xdr:sp macro="" textlink="">
      <xdr:nvSpPr>
        <xdr:cNvPr id="35" name="Line Callout 2 34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52711350" y="9220200"/>
          <a:ext cx="677662" cy="46951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184"/>
            <a:gd name="adj6" fmla="val -59412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280</xdr:col>
      <xdr:colOff>43059</xdr:colOff>
      <xdr:row>2</xdr:row>
      <xdr:rowOff>95250</xdr:rowOff>
    </xdr:from>
    <xdr:to>
      <xdr:col>283</xdr:col>
      <xdr:colOff>179492</xdr:colOff>
      <xdr:row>4</xdr:row>
      <xdr:rowOff>183759</xdr:rowOff>
    </xdr:to>
    <xdr:sp macro="" textlink="">
      <xdr:nvSpPr>
        <xdr:cNvPr id="36" name="Line Callout 2 35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51191004" y="486688"/>
          <a:ext cx="684447" cy="47994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280175"/>
            <a:gd name="adj6" fmla="val -57506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243</xdr:col>
      <xdr:colOff>81159</xdr:colOff>
      <xdr:row>2</xdr:row>
      <xdr:rowOff>136483</xdr:rowOff>
    </xdr:from>
    <xdr:to>
      <xdr:col>247</xdr:col>
      <xdr:colOff>34921</xdr:colOff>
      <xdr:row>5</xdr:row>
      <xdr:rowOff>29273</xdr:rowOff>
    </xdr:to>
    <xdr:sp macro="" textlink="">
      <xdr:nvSpPr>
        <xdr:cNvPr id="37" name="Line Callout 2 36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44470269" y="527921"/>
          <a:ext cx="684447" cy="47994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282894"/>
            <a:gd name="adj6" fmla="val -46068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Autonics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111</xdr:col>
      <xdr:colOff>172137</xdr:colOff>
      <xdr:row>23</xdr:row>
      <xdr:rowOff>103285</xdr:rowOff>
    </xdr:from>
    <xdr:to>
      <xdr:col>120</xdr:col>
      <xdr:colOff>140369</xdr:colOff>
      <xdr:row>28</xdr:row>
      <xdr:rowOff>103738</xdr:rowOff>
    </xdr:to>
    <xdr:sp macro="" textlink="">
      <xdr:nvSpPr>
        <xdr:cNvPr id="38" name="Line Callout 2 37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20204716" y="4484785"/>
          <a:ext cx="1592495" cy="95295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83603"/>
            <a:gd name="adj6" fmla="val -30570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Tủ</a:t>
          </a:r>
          <a:r>
            <a:rPr lang="en-US" sz="1100" baseline="0">
              <a:solidFill>
                <a:srgbClr val="FF0000"/>
              </a:solidFill>
            </a:rPr>
            <a:t> điện Smart Andon</a:t>
          </a:r>
          <a:br>
            <a:rPr lang="en-US" sz="1100" baseline="0">
              <a:solidFill>
                <a:srgbClr val="FF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192.168.72.43 block A3</a:t>
          </a:r>
          <a:br>
            <a:rPr lang="en-US" sz="1100" baseline="0">
              <a:solidFill>
                <a:sysClr val="windowText" lastClr="000000"/>
              </a:solidFill>
            </a:rPr>
          </a:br>
          <a:r>
            <a:rPr lang="en-US" sz="1100" baseline="0">
              <a:solidFill>
                <a:sysClr val="windowText" lastClr="000000"/>
              </a:solidFill>
            </a:rPr>
            <a:t>192.168.72.44 block A2</a:t>
          </a:r>
          <a:br>
            <a:rPr lang="en-US" sz="1100" baseline="0">
              <a:solidFill>
                <a:sysClr val="windowText" lastClr="000000"/>
              </a:solidFill>
            </a:rPr>
          </a:b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104775</xdr:rowOff>
        </xdr:from>
        <xdr:to>
          <xdr:col>15</xdr:col>
          <xdr:colOff>57150</xdr:colOff>
          <xdr:row>13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390525</xdr:colOff>
          <xdr:row>9</xdr:row>
          <xdr:rowOff>85725</xdr:rowOff>
        </xdr:from>
        <xdr:to>
          <xdr:col>20</xdr:col>
          <xdr:colOff>514350</xdr:colOff>
          <xdr:row>15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Execl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P155"/>
  <sheetViews>
    <sheetView topLeftCell="A90" zoomScale="85" zoomScaleNormal="85" workbookViewId="0">
      <selection activeCell="DD98" sqref="DD98:DF98"/>
    </sheetView>
  </sheetViews>
  <sheetFormatPr defaultRowHeight="15" x14ac:dyDescent="0.25"/>
  <cols>
    <col min="1" max="331" width="2.7109375" customWidth="1"/>
  </cols>
  <sheetData>
    <row r="3" spans="2:328" x14ac:dyDescent="0.25">
      <c r="B3" s="1"/>
      <c r="C3" s="2"/>
      <c r="D3" s="2"/>
      <c r="E3" s="2"/>
      <c r="F3" s="2"/>
      <c r="G3" s="2"/>
      <c r="H3" s="2"/>
      <c r="I3" s="2"/>
      <c r="J3" s="3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6"/>
    </row>
    <row r="4" spans="2:328" x14ac:dyDescent="0.25">
      <c r="B4" s="7"/>
      <c r="C4" s="8"/>
      <c r="D4" s="8"/>
      <c r="E4" s="8"/>
      <c r="F4" s="8"/>
      <c r="G4" s="8"/>
      <c r="H4" s="8"/>
      <c r="I4" s="8"/>
      <c r="J4" s="9"/>
      <c r="K4" s="10"/>
      <c r="LP4" s="11"/>
    </row>
    <row r="5" spans="2:328" x14ac:dyDescent="0.25">
      <c r="B5" s="7"/>
      <c r="C5" s="8"/>
      <c r="D5" s="8"/>
      <c r="E5" s="8"/>
      <c r="F5" s="8"/>
      <c r="G5" s="8"/>
      <c r="H5" s="8"/>
      <c r="I5" s="8"/>
      <c r="J5" s="9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LP5" s="11"/>
    </row>
    <row r="6" spans="2:328" x14ac:dyDescent="0.25">
      <c r="B6" s="7"/>
      <c r="C6" s="8"/>
      <c r="D6" s="8"/>
      <c r="E6" s="8"/>
      <c r="F6" s="8"/>
      <c r="G6" s="8"/>
      <c r="H6" s="8"/>
      <c r="I6" s="8"/>
      <c r="J6" s="9"/>
      <c r="O6" s="4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6"/>
      <c r="DO6" s="4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6"/>
      <c r="GX6" s="13"/>
      <c r="GY6" s="14"/>
      <c r="GZ6" s="14"/>
      <c r="HA6" s="14"/>
      <c r="HB6" s="14"/>
      <c r="HC6" s="14"/>
      <c r="HD6" s="14"/>
      <c r="HE6" s="15"/>
      <c r="HM6" s="4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6"/>
      <c r="KJ6" s="13"/>
      <c r="KK6" s="14"/>
      <c r="KL6" s="14"/>
      <c r="KM6" s="14"/>
      <c r="KN6" s="14"/>
      <c r="KO6" s="14"/>
      <c r="KP6" s="14"/>
      <c r="KQ6" s="15"/>
      <c r="KX6" s="16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8"/>
      <c r="LP6" s="11"/>
    </row>
    <row r="7" spans="2:328" x14ac:dyDescent="0.25">
      <c r="B7" s="7"/>
      <c r="C7" s="8"/>
      <c r="D7" s="8"/>
      <c r="E7" s="8"/>
      <c r="F7" s="8"/>
      <c r="G7" s="8"/>
      <c r="H7" s="8"/>
      <c r="I7" s="8"/>
      <c r="J7" s="9"/>
      <c r="O7" s="10"/>
      <c r="P7" s="4"/>
      <c r="Q7" s="5"/>
      <c r="R7" s="5"/>
      <c r="S7" s="5"/>
      <c r="T7" s="5"/>
      <c r="U7" s="5"/>
      <c r="V7" s="5"/>
      <c r="W7" s="5"/>
      <c r="X7" s="5"/>
      <c r="Y7" s="6"/>
      <c r="AB7" s="4"/>
      <c r="AC7" s="5"/>
      <c r="AD7" s="5"/>
      <c r="AE7" s="5"/>
      <c r="AF7" s="5"/>
      <c r="AG7" s="5"/>
      <c r="AH7" s="5"/>
      <c r="AI7" s="5"/>
      <c r="AJ7" s="5"/>
      <c r="AK7" s="6"/>
      <c r="AN7" s="4"/>
      <c r="AO7" s="5"/>
      <c r="AP7" s="5"/>
      <c r="AQ7" s="5"/>
      <c r="AR7" s="5"/>
      <c r="AS7" s="5"/>
      <c r="AT7" s="5"/>
      <c r="AU7" s="5"/>
      <c r="AV7" s="5"/>
      <c r="AW7" s="6"/>
      <c r="AZ7" s="4"/>
      <c r="BA7" s="5"/>
      <c r="BB7" s="5"/>
      <c r="BC7" s="5"/>
      <c r="BD7" s="5"/>
      <c r="BE7" s="5"/>
      <c r="BF7" s="5"/>
      <c r="BG7" s="5"/>
      <c r="BH7" s="5"/>
      <c r="BI7" s="6"/>
      <c r="BL7" s="4"/>
      <c r="BM7" s="5"/>
      <c r="BN7" s="5"/>
      <c r="BO7" s="5"/>
      <c r="BP7" s="5"/>
      <c r="BQ7" s="5"/>
      <c r="BR7" s="5"/>
      <c r="BS7" s="5"/>
      <c r="BT7" s="5"/>
      <c r="BU7" s="6"/>
      <c r="BX7" s="4"/>
      <c r="BY7" s="5"/>
      <c r="BZ7" s="5"/>
      <c r="CA7" s="5"/>
      <c r="CB7" s="5"/>
      <c r="CC7" s="5"/>
      <c r="CD7" s="5"/>
      <c r="CE7" s="5"/>
      <c r="CF7" s="5"/>
      <c r="CG7" s="6"/>
      <c r="CJ7" s="4"/>
      <c r="CK7" s="5"/>
      <c r="CL7" s="5"/>
      <c r="CM7" s="5"/>
      <c r="CN7" s="5"/>
      <c r="CO7" s="5"/>
      <c r="CP7" s="5"/>
      <c r="CQ7" s="5"/>
      <c r="CR7" s="5"/>
      <c r="CS7" s="6"/>
      <c r="CV7" s="4"/>
      <c r="CW7" s="5"/>
      <c r="CX7" s="5"/>
      <c r="CY7" s="5"/>
      <c r="CZ7" s="5"/>
      <c r="DA7" s="5"/>
      <c r="DB7" s="5"/>
      <c r="DC7" s="5"/>
      <c r="DD7" s="5"/>
      <c r="DE7" s="6"/>
      <c r="DH7" s="11"/>
      <c r="DO7" s="10"/>
      <c r="DP7" s="4"/>
      <c r="DQ7" s="5"/>
      <c r="DR7" s="5"/>
      <c r="DS7" s="5"/>
      <c r="DT7" s="5"/>
      <c r="DU7" s="5"/>
      <c r="DV7" s="5"/>
      <c r="DW7" s="5"/>
      <c r="DX7" s="5"/>
      <c r="DY7" s="6"/>
      <c r="EB7" s="4"/>
      <c r="EC7" s="5"/>
      <c r="ED7" s="5"/>
      <c r="EE7" s="5"/>
      <c r="EF7" s="5"/>
      <c r="EG7" s="5"/>
      <c r="EH7" s="5"/>
      <c r="EI7" s="5"/>
      <c r="EJ7" s="5"/>
      <c r="EK7" s="6"/>
      <c r="EN7" s="4"/>
      <c r="EO7" s="5"/>
      <c r="EP7" s="5"/>
      <c r="EQ7" s="5"/>
      <c r="ER7" s="5"/>
      <c r="ES7" s="5"/>
      <c r="ET7" s="5"/>
      <c r="EU7" s="5"/>
      <c r="EV7" s="5"/>
      <c r="EW7" s="6"/>
      <c r="EZ7" s="4"/>
      <c r="FA7" s="5"/>
      <c r="FB7" s="5"/>
      <c r="FC7" s="5"/>
      <c r="FD7" s="5"/>
      <c r="FE7" s="5"/>
      <c r="FF7" s="5"/>
      <c r="FG7" s="5"/>
      <c r="FH7" s="5"/>
      <c r="FI7" s="6"/>
      <c r="FL7" s="4"/>
      <c r="FM7" s="5"/>
      <c r="FN7" s="5"/>
      <c r="FO7" s="5"/>
      <c r="FP7" s="5"/>
      <c r="FQ7" s="5"/>
      <c r="FR7" s="5"/>
      <c r="FS7" s="5"/>
      <c r="FT7" s="5"/>
      <c r="FU7" s="6"/>
      <c r="FX7" s="4"/>
      <c r="FY7" s="5"/>
      <c r="FZ7" s="5"/>
      <c r="GA7" s="5"/>
      <c r="GB7" s="5"/>
      <c r="GC7" s="5"/>
      <c r="GD7" s="5"/>
      <c r="GE7" s="5"/>
      <c r="GF7" s="5"/>
      <c r="GG7" s="6"/>
      <c r="GJ7" s="4"/>
      <c r="GK7" s="5"/>
      <c r="GL7" s="5"/>
      <c r="GM7" s="5"/>
      <c r="GN7" s="5"/>
      <c r="GO7" s="5"/>
      <c r="GP7" s="5"/>
      <c r="GQ7" s="5"/>
      <c r="GR7" s="5"/>
      <c r="GS7" s="6"/>
      <c r="GT7" s="11"/>
      <c r="GX7" s="19"/>
      <c r="GY7" s="20"/>
      <c r="GZ7" s="20"/>
      <c r="HA7" s="20"/>
      <c r="HB7" s="20"/>
      <c r="HC7" s="20"/>
      <c r="HD7" s="20"/>
      <c r="HE7" s="21"/>
      <c r="HM7" s="10"/>
      <c r="HN7" s="4"/>
      <c r="HO7" s="5"/>
      <c r="HP7" s="5"/>
      <c r="HQ7" s="5"/>
      <c r="HR7" s="5"/>
      <c r="HS7" s="5"/>
      <c r="HT7" s="5"/>
      <c r="HU7" s="5"/>
      <c r="HV7" s="5"/>
      <c r="HW7" s="6"/>
      <c r="HZ7" s="4"/>
      <c r="IA7" s="5"/>
      <c r="IB7" s="5"/>
      <c r="IC7" s="5"/>
      <c r="ID7" s="5"/>
      <c r="IE7" s="5"/>
      <c r="IF7" s="5"/>
      <c r="IG7" s="5"/>
      <c r="IH7" s="5"/>
      <c r="II7" s="6"/>
      <c r="IL7" s="4"/>
      <c r="IM7" s="5"/>
      <c r="IN7" s="5"/>
      <c r="IO7" s="5"/>
      <c r="IP7" s="5"/>
      <c r="IQ7" s="5"/>
      <c r="IR7" s="5"/>
      <c r="IS7" s="5"/>
      <c r="IT7" s="5"/>
      <c r="IU7" s="6"/>
      <c r="IX7" s="4"/>
      <c r="IY7" s="5"/>
      <c r="IZ7" s="5"/>
      <c r="JA7" s="5"/>
      <c r="JB7" s="5"/>
      <c r="JC7" s="5"/>
      <c r="JD7" s="5"/>
      <c r="JE7" s="5"/>
      <c r="JF7" s="5"/>
      <c r="JG7" s="6"/>
      <c r="JJ7" s="4"/>
      <c r="JK7" s="5"/>
      <c r="JL7" s="5"/>
      <c r="JM7" s="5"/>
      <c r="JN7" s="5"/>
      <c r="JO7" s="5"/>
      <c r="JP7" s="5"/>
      <c r="JQ7" s="5"/>
      <c r="JR7" s="5"/>
      <c r="JS7" s="6"/>
      <c r="JV7" s="4"/>
      <c r="JW7" s="5"/>
      <c r="JX7" s="5"/>
      <c r="JY7" s="5"/>
      <c r="JZ7" s="5"/>
      <c r="KA7" s="5"/>
      <c r="KB7" s="5"/>
      <c r="KC7" s="5"/>
      <c r="KD7" s="5"/>
      <c r="KE7" s="6"/>
      <c r="KF7" s="11"/>
      <c r="KJ7" s="19"/>
      <c r="KK7" s="20"/>
      <c r="KL7" s="20"/>
      <c r="KM7" s="20"/>
      <c r="KN7" s="20"/>
      <c r="KO7" s="20"/>
      <c r="KP7" s="20"/>
      <c r="KQ7" s="21"/>
      <c r="KX7" s="22"/>
      <c r="KY7" s="23"/>
      <c r="KZ7" s="23"/>
      <c r="LA7" s="23"/>
      <c r="LB7" s="23"/>
      <c r="LC7" s="23"/>
      <c r="LD7" s="23"/>
      <c r="LE7" s="23"/>
      <c r="LF7" s="23"/>
      <c r="LG7" s="23"/>
      <c r="LH7" s="23"/>
      <c r="LI7" s="23"/>
      <c r="LJ7" s="23"/>
      <c r="LK7" s="23"/>
      <c r="LL7" s="24"/>
      <c r="LP7" s="11"/>
    </row>
    <row r="8" spans="2:328" x14ac:dyDescent="0.25">
      <c r="B8" s="7"/>
      <c r="C8" s="8"/>
      <c r="D8" s="8"/>
      <c r="E8" s="8"/>
      <c r="F8" s="8"/>
      <c r="G8" s="8"/>
      <c r="H8" s="8"/>
      <c r="I8" s="8"/>
      <c r="J8" s="9"/>
      <c r="O8" s="10"/>
      <c r="P8" s="10"/>
      <c r="V8" s="139" t="s">
        <v>0</v>
      </c>
      <c r="W8" s="139"/>
      <c r="X8" s="139"/>
      <c r="Y8" s="11"/>
      <c r="AB8" s="10"/>
      <c r="AC8" s="139" t="s">
        <v>0</v>
      </c>
      <c r="AD8" s="139"/>
      <c r="AE8" s="139"/>
      <c r="AH8" s="139" t="s">
        <v>0</v>
      </c>
      <c r="AI8" s="139"/>
      <c r="AJ8" s="139"/>
      <c r="AK8" s="11"/>
      <c r="AN8" s="10"/>
      <c r="AO8" s="139" t="s">
        <v>0</v>
      </c>
      <c r="AP8" s="139"/>
      <c r="AQ8" s="139"/>
      <c r="AT8" s="139" t="s">
        <v>0</v>
      </c>
      <c r="AU8" s="139"/>
      <c r="AV8" s="139"/>
      <c r="AW8" s="11"/>
      <c r="AZ8" s="10"/>
      <c r="BA8" s="139" t="s">
        <v>0</v>
      </c>
      <c r="BB8" s="139"/>
      <c r="BC8" s="139"/>
      <c r="BF8" s="139" t="s">
        <v>0</v>
      </c>
      <c r="BG8" s="139"/>
      <c r="BH8" s="139"/>
      <c r="BI8" s="11"/>
      <c r="BL8" s="10"/>
      <c r="BM8" s="139" t="s">
        <v>0</v>
      </c>
      <c r="BN8" s="139"/>
      <c r="BO8" s="139"/>
      <c r="BR8" s="139" t="s">
        <v>0</v>
      </c>
      <c r="BS8" s="139"/>
      <c r="BT8" s="139"/>
      <c r="BU8" s="11"/>
      <c r="BX8" s="10"/>
      <c r="BY8" s="139" t="s">
        <v>0</v>
      </c>
      <c r="BZ8" s="139"/>
      <c r="CA8" s="139"/>
      <c r="CD8" s="139" t="s">
        <v>0</v>
      </c>
      <c r="CE8" s="139"/>
      <c r="CF8" s="139"/>
      <c r="CG8" s="11"/>
      <c r="CJ8" s="10"/>
      <c r="CK8" s="139" t="s">
        <v>0</v>
      </c>
      <c r="CL8" s="139"/>
      <c r="CM8" s="139"/>
      <c r="CP8" s="139" t="s">
        <v>0</v>
      </c>
      <c r="CQ8" s="139"/>
      <c r="CR8" s="139"/>
      <c r="CS8" s="11"/>
      <c r="CV8" s="10"/>
      <c r="DB8" s="139" t="s">
        <v>0</v>
      </c>
      <c r="DC8" s="139"/>
      <c r="DD8" s="139"/>
      <c r="DE8" s="11"/>
      <c r="DH8" s="11"/>
      <c r="DO8" s="10"/>
      <c r="DP8" s="10"/>
      <c r="DQ8" s="139" t="s">
        <v>0</v>
      </c>
      <c r="DR8" s="139"/>
      <c r="DS8" s="139"/>
      <c r="DV8" s="139" t="s">
        <v>0</v>
      </c>
      <c r="DW8" s="139"/>
      <c r="DX8" s="139"/>
      <c r="DY8" s="11"/>
      <c r="EB8" s="10"/>
      <c r="EC8" s="139" t="s">
        <v>0</v>
      </c>
      <c r="ED8" s="139"/>
      <c r="EE8" s="139"/>
      <c r="EH8" s="139" t="s">
        <v>0</v>
      </c>
      <c r="EI8" s="139"/>
      <c r="EJ8" s="139"/>
      <c r="EK8" s="11"/>
      <c r="EN8" s="10"/>
      <c r="EO8" s="139" t="s">
        <v>0</v>
      </c>
      <c r="EP8" s="139"/>
      <c r="EQ8" s="139"/>
      <c r="ET8" s="139" t="s">
        <v>0</v>
      </c>
      <c r="EU8" s="139"/>
      <c r="EV8" s="139"/>
      <c r="EW8" s="11"/>
      <c r="EZ8" s="10"/>
      <c r="FA8" s="139" t="s">
        <v>0</v>
      </c>
      <c r="FB8" s="139"/>
      <c r="FC8" s="139"/>
      <c r="FF8" s="139" t="s">
        <v>0</v>
      </c>
      <c r="FG8" s="139"/>
      <c r="FH8" s="139"/>
      <c r="FI8" s="11"/>
      <c r="FL8" s="10"/>
      <c r="FM8" s="139" t="s">
        <v>0</v>
      </c>
      <c r="FN8" s="139"/>
      <c r="FO8" s="139"/>
      <c r="FR8" s="139" t="s">
        <v>0</v>
      </c>
      <c r="FS8" s="139"/>
      <c r="FT8" s="139"/>
      <c r="FU8" s="11"/>
      <c r="FX8" s="10"/>
      <c r="FY8" s="139" t="s">
        <v>0</v>
      </c>
      <c r="FZ8" s="139"/>
      <c r="GA8" s="139"/>
      <c r="GD8" s="139" t="s">
        <v>0</v>
      </c>
      <c r="GE8" s="139"/>
      <c r="GF8" s="139"/>
      <c r="GG8" s="11"/>
      <c r="GJ8" s="10"/>
      <c r="GK8" s="139" t="s">
        <v>0</v>
      </c>
      <c r="GL8" s="139"/>
      <c r="GM8" s="139"/>
      <c r="GP8" s="139" t="s">
        <v>0</v>
      </c>
      <c r="GQ8" s="139"/>
      <c r="GR8" s="139"/>
      <c r="GS8" s="11"/>
      <c r="GT8" s="11"/>
      <c r="GX8" s="19"/>
      <c r="GY8" s="20"/>
      <c r="GZ8" s="20"/>
      <c r="HA8" s="20"/>
      <c r="HB8" s="20"/>
      <c r="HC8" s="20"/>
      <c r="HD8" s="20"/>
      <c r="HE8" s="21"/>
      <c r="HM8" s="10"/>
      <c r="HN8" s="10"/>
      <c r="HO8" s="139" t="s">
        <v>0</v>
      </c>
      <c r="HP8" s="139"/>
      <c r="HQ8" s="139"/>
      <c r="HT8" s="139" t="s">
        <v>0</v>
      </c>
      <c r="HU8" s="139"/>
      <c r="HV8" s="139"/>
      <c r="HW8" s="11"/>
      <c r="HZ8" s="10"/>
      <c r="IA8" s="139" t="s">
        <v>0</v>
      </c>
      <c r="IB8" s="139"/>
      <c r="IC8" s="139"/>
      <c r="IF8" s="139" t="s">
        <v>0</v>
      </c>
      <c r="IG8" s="139"/>
      <c r="IH8" s="139"/>
      <c r="II8" s="11"/>
      <c r="IL8" s="10"/>
      <c r="IM8" s="139" t="s">
        <v>0</v>
      </c>
      <c r="IN8" s="139"/>
      <c r="IO8" s="139"/>
      <c r="IR8" s="139" t="s">
        <v>0</v>
      </c>
      <c r="IS8" s="139"/>
      <c r="IT8" s="139"/>
      <c r="IU8" s="11"/>
      <c r="IX8" s="10"/>
      <c r="IY8" s="139" t="s">
        <v>0</v>
      </c>
      <c r="IZ8" s="139"/>
      <c r="JA8" s="139"/>
      <c r="JD8" s="139" t="s">
        <v>0</v>
      </c>
      <c r="JE8" s="139"/>
      <c r="JF8" s="139"/>
      <c r="JG8" s="11"/>
      <c r="JJ8" s="10"/>
      <c r="JK8" s="139" t="s">
        <v>0</v>
      </c>
      <c r="JL8" s="139"/>
      <c r="JM8" s="139"/>
      <c r="JP8" s="139" t="s">
        <v>0</v>
      </c>
      <c r="JQ8" s="139"/>
      <c r="JR8" s="139"/>
      <c r="JS8" s="11"/>
      <c r="JV8" s="10"/>
      <c r="JW8" s="139" t="s">
        <v>0</v>
      </c>
      <c r="JX8" s="139"/>
      <c r="JY8" s="139"/>
      <c r="KB8" s="139" t="s">
        <v>0</v>
      </c>
      <c r="KC8" s="139"/>
      <c r="KD8" s="139"/>
      <c r="KE8" s="11"/>
      <c r="KF8" s="11"/>
      <c r="KJ8" s="19"/>
      <c r="KK8" s="20"/>
      <c r="KL8" s="20"/>
      <c r="KM8" s="20"/>
      <c r="KN8" s="20"/>
      <c r="KO8" s="20"/>
      <c r="KP8" s="20"/>
      <c r="KQ8" s="21"/>
      <c r="KX8" s="22"/>
      <c r="KY8" s="23"/>
      <c r="KZ8" s="23"/>
      <c r="LA8" s="23"/>
      <c r="LB8" s="23"/>
      <c r="LC8" s="23"/>
      <c r="LD8" s="23"/>
      <c r="LE8" s="23"/>
      <c r="LF8" s="23"/>
      <c r="LG8" s="23"/>
      <c r="LH8" s="23"/>
      <c r="LI8" s="23"/>
      <c r="LJ8" s="23"/>
      <c r="LK8" s="23"/>
      <c r="LL8" s="24"/>
      <c r="LP8" s="11"/>
    </row>
    <row r="9" spans="2:328" x14ac:dyDescent="0.25">
      <c r="B9" s="7"/>
      <c r="C9" s="8"/>
      <c r="D9" s="8"/>
      <c r="E9" s="8"/>
      <c r="F9" s="8"/>
      <c r="G9" s="8"/>
      <c r="H9" s="8"/>
      <c r="I9" s="8"/>
      <c r="J9" s="9"/>
      <c r="O9" s="10"/>
      <c r="P9" s="10"/>
      <c r="V9" s="140">
        <v>139</v>
      </c>
      <c r="W9" s="140"/>
      <c r="X9" s="140"/>
      <c r="Y9" s="11"/>
      <c r="AB9" s="10"/>
      <c r="AC9" s="140">
        <v>138</v>
      </c>
      <c r="AD9" s="140"/>
      <c r="AE9" s="140"/>
      <c r="AH9" s="140">
        <v>137</v>
      </c>
      <c r="AI9" s="140"/>
      <c r="AJ9" s="140"/>
      <c r="AK9" s="11"/>
      <c r="AN9" s="10"/>
      <c r="AO9" s="140">
        <v>135</v>
      </c>
      <c r="AP9" s="140"/>
      <c r="AQ9" s="140"/>
      <c r="AT9" s="140">
        <v>136</v>
      </c>
      <c r="AU9" s="140"/>
      <c r="AV9" s="140"/>
      <c r="AW9" s="11"/>
      <c r="AZ9" s="10"/>
      <c r="BA9" s="140">
        <v>127</v>
      </c>
      <c r="BB9" s="140"/>
      <c r="BC9" s="140"/>
      <c r="BF9" s="140">
        <v>0</v>
      </c>
      <c r="BG9" s="140"/>
      <c r="BH9" s="140"/>
      <c r="BI9" s="11"/>
      <c r="BL9" s="10"/>
      <c r="BM9" s="140">
        <v>133</v>
      </c>
      <c r="BN9" s="140"/>
      <c r="BO9" s="140"/>
      <c r="BR9" s="140">
        <v>128</v>
      </c>
      <c r="BS9" s="140"/>
      <c r="BT9" s="140"/>
      <c r="BU9" s="11"/>
      <c r="BX9" s="10"/>
      <c r="BY9" s="140">
        <v>130</v>
      </c>
      <c r="BZ9" s="140"/>
      <c r="CA9" s="140"/>
      <c r="CD9" s="140">
        <v>129</v>
      </c>
      <c r="CE9" s="140"/>
      <c r="CF9" s="140"/>
      <c r="CG9" s="11"/>
      <c r="CJ9" s="10"/>
      <c r="CK9" s="140">
        <v>132</v>
      </c>
      <c r="CL9" s="140"/>
      <c r="CM9" s="140"/>
      <c r="CP9" s="140">
        <v>0</v>
      </c>
      <c r="CQ9" s="140"/>
      <c r="CR9" s="140"/>
      <c r="CS9" s="11"/>
      <c r="CV9" s="10"/>
      <c r="DB9" s="140">
        <v>131</v>
      </c>
      <c r="DC9" s="140"/>
      <c r="DD9" s="140"/>
      <c r="DE9" s="11"/>
      <c r="DH9" s="11"/>
      <c r="DO9" s="10"/>
      <c r="DP9" s="10"/>
      <c r="DQ9" s="140">
        <v>126</v>
      </c>
      <c r="DR9" s="140"/>
      <c r="DS9" s="140"/>
      <c r="DV9" s="140">
        <v>125</v>
      </c>
      <c r="DW9" s="140"/>
      <c r="DX9" s="140"/>
      <c r="DY9" s="11"/>
      <c r="EB9" s="10"/>
      <c r="EC9" s="140">
        <v>124</v>
      </c>
      <c r="ED9" s="140"/>
      <c r="EE9" s="140"/>
      <c r="EH9" s="140">
        <v>123</v>
      </c>
      <c r="EI9" s="140"/>
      <c r="EJ9" s="140"/>
      <c r="EK9" s="11"/>
      <c r="EN9" s="10"/>
      <c r="EO9" s="140">
        <v>122</v>
      </c>
      <c r="EP9" s="140"/>
      <c r="EQ9" s="140"/>
      <c r="ET9" s="140">
        <v>121</v>
      </c>
      <c r="EU9" s="140"/>
      <c r="EV9" s="140"/>
      <c r="EW9" s="11"/>
      <c r="EZ9" s="10"/>
      <c r="FA9" s="140">
        <v>120</v>
      </c>
      <c r="FB9" s="140"/>
      <c r="FC9" s="140"/>
      <c r="FF9" s="140">
        <v>119</v>
      </c>
      <c r="FG9" s="140"/>
      <c r="FH9" s="140"/>
      <c r="FI9" s="11"/>
      <c r="FL9" s="10"/>
      <c r="FM9" s="140">
        <v>118</v>
      </c>
      <c r="FN9" s="140"/>
      <c r="FO9" s="140"/>
      <c r="FR9" s="140">
        <v>117</v>
      </c>
      <c r="FS9" s="140"/>
      <c r="FT9" s="140"/>
      <c r="FU9" s="11"/>
      <c r="FX9" s="10"/>
      <c r="FY9" s="140">
        <v>116</v>
      </c>
      <c r="FZ9" s="140"/>
      <c r="GA9" s="140"/>
      <c r="GD9" s="140">
        <v>115</v>
      </c>
      <c r="GE9" s="140"/>
      <c r="GF9" s="140"/>
      <c r="GG9" s="11"/>
      <c r="GJ9" s="10"/>
      <c r="GK9" s="140">
        <v>114</v>
      </c>
      <c r="GL9" s="140"/>
      <c r="GM9" s="140"/>
      <c r="GP9" s="140">
        <v>113</v>
      </c>
      <c r="GQ9" s="140"/>
      <c r="GR9" s="140"/>
      <c r="GS9" s="11"/>
      <c r="GT9" s="11"/>
      <c r="GX9" s="19"/>
      <c r="GY9" s="20"/>
      <c r="GZ9" s="20"/>
      <c r="HA9" s="20"/>
      <c r="HB9" s="20"/>
      <c r="HC9" s="20"/>
      <c r="HD9" s="20"/>
      <c r="HE9" s="21"/>
      <c r="HM9" s="10"/>
      <c r="HN9" s="10"/>
      <c r="HO9" s="140">
        <v>112</v>
      </c>
      <c r="HP9" s="140"/>
      <c r="HQ9" s="140"/>
      <c r="HT9" s="140">
        <v>111</v>
      </c>
      <c r="HU9" s="140"/>
      <c r="HV9" s="140"/>
      <c r="HW9" s="11"/>
      <c r="HZ9" s="10"/>
      <c r="IA9" s="140">
        <v>110</v>
      </c>
      <c r="IB9" s="140"/>
      <c r="IC9" s="140"/>
      <c r="IF9" s="140">
        <v>109</v>
      </c>
      <c r="IG9" s="140"/>
      <c r="IH9" s="140"/>
      <c r="II9" s="11"/>
      <c r="IL9" s="10"/>
      <c r="IM9" s="140">
        <v>108</v>
      </c>
      <c r="IN9" s="140"/>
      <c r="IO9" s="140"/>
      <c r="IR9" s="140">
        <v>107</v>
      </c>
      <c r="IS9" s="140"/>
      <c r="IT9" s="140"/>
      <c r="IU9" s="11"/>
      <c r="IX9" s="10"/>
      <c r="IY9" s="140">
        <v>106</v>
      </c>
      <c r="IZ9" s="140"/>
      <c r="JA9" s="140"/>
      <c r="JD9" s="140">
        <v>105</v>
      </c>
      <c r="JE9" s="140"/>
      <c r="JF9" s="140"/>
      <c r="JG9" s="11"/>
      <c r="JJ9" s="10"/>
      <c r="JK9" s="140">
        <v>104</v>
      </c>
      <c r="JL9" s="140"/>
      <c r="JM9" s="140"/>
      <c r="JP9" s="140">
        <v>103</v>
      </c>
      <c r="JQ9" s="140"/>
      <c r="JR9" s="140"/>
      <c r="JS9" s="11"/>
      <c r="JV9" s="10"/>
      <c r="JW9" s="140">
        <v>102</v>
      </c>
      <c r="JX9" s="140"/>
      <c r="JY9" s="140"/>
      <c r="KB9" s="140">
        <v>101</v>
      </c>
      <c r="KC9" s="140"/>
      <c r="KD9" s="140"/>
      <c r="KE9" s="11"/>
      <c r="KF9" s="11"/>
      <c r="KJ9" s="19"/>
      <c r="KK9" s="20"/>
      <c r="KL9" s="20"/>
      <c r="KM9" s="20"/>
      <c r="KN9" s="20"/>
      <c r="KO9" s="20"/>
      <c r="KP9" s="20"/>
      <c r="KQ9" s="21"/>
      <c r="KX9" s="22"/>
      <c r="KY9" s="23"/>
      <c r="KZ9" s="23"/>
      <c r="LA9" s="23"/>
      <c r="LB9" s="23"/>
      <c r="LC9" s="23"/>
      <c r="LD9" s="23"/>
      <c r="LE9" s="23"/>
      <c r="LF9" s="23"/>
      <c r="LG9" s="23"/>
      <c r="LH9" s="23"/>
      <c r="LI9" s="23"/>
      <c r="LJ9" s="23"/>
      <c r="LK9" s="23"/>
      <c r="LL9" s="24"/>
      <c r="LP9" s="11"/>
    </row>
    <row r="10" spans="2:328" x14ac:dyDescent="0.25">
      <c r="B10" s="7"/>
      <c r="C10" s="8"/>
      <c r="D10" s="8"/>
      <c r="E10" s="8"/>
      <c r="F10" s="8"/>
      <c r="G10" s="8"/>
      <c r="H10" s="8"/>
      <c r="I10" s="8"/>
      <c r="J10" s="9"/>
      <c r="O10" s="10"/>
      <c r="P10" s="10"/>
      <c r="Y10" s="11"/>
      <c r="AB10" s="10"/>
      <c r="AK10" s="11"/>
      <c r="AN10" s="10"/>
      <c r="AW10" s="11"/>
      <c r="AZ10" s="10"/>
      <c r="BI10" s="11"/>
      <c r="BL10" s="10"/>
      <c r="BU10" s="11"/>
      <c r="BX10" s="10"/>
      <c r="CG10" s="11"/>
      <c r="CJ10" s="10"/>
      <c r="CS10" s="11"/>
      <c r="CV10" s="10"/>
      <c r="DE10" s="11"/>
      <c r="DH10" s="11"/>
      <c r="DO10" s="10"/>
      <c r="DP10" s="10"/>
      <c r="DY10" s="11"/>
      <c r="EB10" s="10"/>
      <c r="EK10" s="11"/>
      <c r="EN10" s="10"/>
      <c r="EW10" s="11"/>
      <c r="EZ10" s="10"/>
      <c r="FI10" s="11"/>
      <c r="FL10" s="10"/>
      <c r="FU10" s="11"/>
      <c r="FX10" s="10"/>
      <c r="GG10" s="11"/>
      <c r="GJ10" s="10"/>
      <c r="GS10" s="11"/>
      <c r="GT10" s="11"/>
      <c r="GX10" s="19"/>
      <c r="GY10" s="20"/>
      <c r="GZ10" s="20"/>
      <c r="HA10" s="20"/>
      <c r="HB10" s="20"/>
      <c r="HC10" s="20"/>
      <c r="HD10" s="20"/>
      <c r="HE10" s="21"/>
      <c r="HM10" s="10"/>
      <c r="HN10" s="10"/>
      <c r="HW10" s="11"/>
      <c r="HZ10" s="10"/>
      <c r="II10" s="11"/>
      <c r="IL10" s="10"/>
      <c r="IU10" s="11"/>
      <c r="IX10" s="10"/>
      <c r="JG10" s="11"/>
      <c r="JJ10" s="10"/>
      <c r="JS10" s="11"/>
      <c r="JV10" s="10"/>
      <c r="KE10" s="11"/>
      <c r="KF10" s="11"/>
      <c r="KJ10" s="19"/>
      <c r="KK10" s="20"/>
      <c r="KL10" s="20"/>
      <c r="KM10" s="20"/>
      <c r="KN10" s="20"/>
      <c r="KO10" s="20"/>
      <c r="KP10" s="20"/>
      <c r="KQ10" s="21"/>
      <c r="KX10" s="22"/>
      <c r="KY10" s="23"/>
      <c r="KZ10" s="23"/>
      <c r="LA10" s="23"/>
      <c r="LB10" s="23"/>
      <c r="LC10" s="23"/>
      <c r="LD10" s="23"/>
      <c r="LE10" s="23"/>
      <c r="LF10" s="23"/>
      <c r="LG10" s="23"/>
      <c r="LH10" s="23"/>
      <c r="LI10" s="23"/>
      <c r="LJ10" s="23"/>
      <c r="LK10" s="23"/>
      <c r="LL10" s="24"/>
      <c r="LP10" s="11"/>
    </row>
    <row r="11" spans="2:328" x14ac:dyDescent="0.25">
      <c r="B11" s="7"/>
      <c r="C11" s="8"/>
      <c r="D11" s="8"/>
      <c r="E11" s="8"/>
      <c r="F11" s="8"/>
      <c r="G11" s="8"/>
      <c r="H11" s="8"/>
      <c r="I11" s="8"/>
      <c r="J11" s="9"/>
      <c r="O11" s="10"/>
      <c r="P11" s="10"/>
      <c r="Y11" s="11"/>
      <c r="AB11" s="10"/>
      <c r="AK11" s="11"/>
      <c r="AN11" s="10"/>
      <c r="AW11" s="11"/>
      <c r="AZ11" s="10"/>
      <c r="BI11" s="11"/>
      <c r="BL11" s="10"/>
      <c r="BU11" s="11"/>
      <c r="BX11" s="10"/>
      <c r="CG11" s="11"/>
      <c r="CJ11" s="10"/>
      <c r="CS11" s="11"/>
      <c r="CV11" s="10"/>
      <c r="DE11" s="11"/>
      <c r="DH11" s="11"/>
      <c r="DO11" s="10"/>
      <c r="DP11" s="10"/>
      <c r="DY11" s="11"/>
      <c r="EB11" s="10"/>
      <c r="EK11" s="11"/>
      <c r="EN11" s="10"/>
      <c r="EW11" s="11"/>
      <c r="EZ11" s="10"/>
      <c r="FI11" s="11"/>
      <c r="FL11" s="10"/>
      <c r="FU11" s="11"/>
      <c r="FX11" s="10"/>
      <c r="GG11" s="11"/>
      <c r="GJ11" s="10"/>
      <c r="GS11" s="11"/>
      <c r="GT11" s="11"/>
      <c r="GX11" s="19"/>
      <c r="GY11" s="20"/>
      <c r="GZ11" s="20"/>
      <c r="HA11" s="20"/>
      <c r="HB11" s="20"/>
      <c r="HC11" s="20"/>
      <c r="HD11" s="20"/>
      <c r="HE11" s="21"/>
      <c r="HM11" s="10"/>
      <c r="HN11" s="10"/>
      <c r="HW11" s="11"/>
      <c r="HZ11" s="10"/>
      <c r="IC11" s="141" t="s">
        <v>1</v>
      </c>
      <c r="ID11" s="142"/>
      <c r="IE11" s="142"/>
      <c r="IF11" s="142"/>
      <c r="IG11" s="142"/>
      <c r="IH11" s="142"/>
      <c r="II11" s="142"/>
      <c r="IL11" s="10"/>
      <c r="IU11" s="11"/>
      <c r="IX11" s="10"/>
      <c r="JG11" s="11"/>
      <c r="JJ11" s="10"/>
      <c r="JM11" s="141" t="s">
        <v>2</v>
      </c>
      <c r="JN11" s="142"/>
      <c r="JO11" s="142"/>
      <c r="JP11" s="142"/>
      <c r="JQ11" s="142"/>
      <c r="JR11" s="142"/>
      <c r="JS11" s="142"/>
      <c r="JV11" s="10"/>
      <c r="KE11" s="11"/>
      <c r="KF11" s="11"/>
      <c r="KJ11" s="19"/>
      <c r="KK11" s="20"/>
      <c r="KL11" s="20"/>
      <c r="KM11" s="20"/>
      <c r="KN11" s="20"/>
      <c r="KO11" s="20"/>
      <c r="KP11" s="20"/>
      <c r="KQ11" s="21"/>
      <c r="KX11" s="22"/>
      <c r="KY11" s="23"/>
      <c r="KZ11" s="23"/>
      <c r="LA11" s="23"/>
      <c r="LB11" s="23"/>
      <c r="LC11" s="23"/>
      <c r="LD11" s="23"/>
      <c r="LE11" s="23"/>
      <c r="LF11" s="23"/>
      <c r="LG11" s="23"/>
      <c r="LH11" s="23"/>
      <c r="LI11" s="23"/>
      <c r="LJ11" s="23"/>
      <c r="LK11" s="23"/>
      <c r="LL11" s="24"/>
      <c r="LP11" s="11"/>
    </row>
    <row r="12" spans="2:328" x14ac:dyDescent="0.25">
      <c r="B12" s="7"/>
      <c r="C12" s="8"/>
      <c r="D12" s="8"/>
      <c r="E12" s="8"/>
      <c r="F12" s="8"/>
      <c r="G12" s="8"/>
      <c r="H12" s="8"/>
      <c r="I12" s="8"/>
      <c r="J12" s="9"/>
      <c r="O12" s="10"/>
      <c r="P12" s="10"/>
      <c r="Y12" s="11"/>
      <c r="AB12" s="10"/>
      <c r="AK12" s="11"/>
      <c r="AN12" s="10"/>
      <c r="AW12" s="11"/>
      <c r="AZ12" s="10"/>
      <c r="BI12" s="11"/>
      <c r="BL12" s="10"/>
      <c r="BU12" s="11"/>
      <c r="BX12" s="10"/>
      <c r="CG12" s="11"/>
      <c r="CJ12" s="10"/>
      <c r="CS12" s="11"/>
      <c r="CV12" s="10"/>
      <c r="DE12" s="11"/>
      <c r="DH12" s="11"/>
      <c r="DO12" s="10"/>
      <c r="DP12" s="10"/>
      <c r="DY12" s="11"/>
      <c r="EB12" s="10"/>
      <c r="EK12" s="11"/>
      <c r="EN12" s="10"/>
      <c r="EW12" s="11"/>
      <c r="EZ12" s="10"/>
      <c r="FI12" s="11"/>
      <c r="FL12" s="10"/>
      <c r="FU12" s="11"/>
      <c r="FX12" s="10"/>
      <c r="GG12" s="11"/>
      <c r="GJ12" s="10"/>
      <c r="GS12" s="11"/>
      <c r="GT12" s="11"/>
      <c r="GX12" s="19"/>
      <c r="GY12" s="144" t="s">
        <v>3</v>
      </c>
      <c r="GZ12" s="144"/>
      <c r="HA12" s="144"/>
      <c r="HB12" s="144"/>
      <c r="HC12" s="144"/>
      <c r="HD12" s="144"/>
      <c r="HE12" s="21"/>
      <c r="HM12" s="10"/>
      <c r="HN12" s="10"/>
      <c r="HW12" s="11"/>
      <c r="HZ12" s="10"/>
      <c r="IC12" s="142"/>
      <c r="ID12" s="142"/>
      <c r="IE12" s="142"/>
      <c r="IF12" s="142"/>
      <c r="IG12" s="142"/>
      <c r="IH12" s="142"/>
      <c r="II12" s="142"/>
      <c r="IL12" s="10"/>
      <c r="IU12" s="11"/>
      <c r="IX12" s="10"/>
      <c r="JG12" s="11"/>
      <c r="JJ12" s="10"/>
      <c r="JM12" s="142"/>
      <c r="JN12" s="142"/>
      <c r="JO12" s="142"/>
      <c r="JP12" s="142"/>
      <c r="JQ12" s="142"/>
      <c r="JR12" s="142"/>
      <c r="JS12" s="142"/>
      <c r="JV12" s="10"/>
      <c r="KE12" s="11"/>
      <c r="KF12" s="11"/>
      <c r="KJ12" s="19"/>
      <c r="KK12" s="144" t="s">
        <v>3</v>
      </c>
      <c r="KL12" s="144"/>
      <c r="KM12" s="144"/>
      <c r="KN12" s="144"/>
      <c r="KO12" s="144"/>
      <c r="KP12" s="144"/>
      <c r="KQ12" s="21"/>
      <c r="KX12" s="22"/>
      <c r="KY12" s="23"/>
      <c r="KZ12" s="23"/>
      <c r="LA12" s="23"/>
      <c r="LB12" s="146" t="s">
        <v>4</v>
      </c>
      <c r="LC12" s="147"/>
      <c r="LD12" s="147"/>
      <c r="LE12" s="147"/>
      <c r="LF12" s="147"/>
      <c r="LG12" s="147"/>
      <c r="LH12" s="147"/>
      <c r="LI12" s="23"/>
      <c r="LJ12" s="23"/>
      <c r="LK12" s="23"/>
      <c r="LL12" s="24"/>
      <c r="LP12" s="11"/>
    </row>
    <row r="13" spans="2:328" x14ac:dyDescent="0.25">
      <c r="B13" s="7"/>
      <c r="C13" s="8"/>
      <c r="D13" s="8"/>
      <c r="E13" s="8"/>
      <c r="F13" s="8"/>
      <c r="G13" s="8"/>
      <c r="H13" s="8"/>
      <c r="I13" s="8"/>
      <c r="J13" s="9"/>
      <c r="O13" s="10"/>
      <c r="P13" s="10"/>
      <c r="Y13" s="11"/>
      <c r="AB13" s="10"/>
      <c r="AK13" s="11"/>
      <c r="AN13" s="10"/>
      <c r="AW13" s="11"/>
      <c r="AZ13" s="10"/>
      <c r="BI13" s="11"/>
      <c r="BL13" s="10"/>
      <c r="BU13" s="11"/>
      <c r="BX13" s="10"/>
      <c r="CG13" s="11"/>
      <c r="CJ13" s="10"/>
      <c r="CS13" s="11"/>
      <c r="CV13" s="10"/>
      <c r="DE13" s="11"/>
      <c r="DH13" s="11"/>
      <c r="DO13" s="10"/>
      <c r="DP13" s="10"/>
      <c r="DY13" s="11"/>
      <c r="EB13" s="10"/>
      <c r="EK13" s="11"/>
      <c r="EN13" s="10"/>
      <c r="EW13" s="11"/>
      <c r="EZ13" s="10"/>
      <c r="FI13" s="11"/>
      <c r="FL13" s="10"/>
      <c r="FU13" s="11"/>
      <c r="FX13" s="10"/>
      <c r="GG13" s="11"/>
      <c r="GJ13" s="10"/>
      <c r="GS13" s="11"/>
      <c r="GT13" s="11"/>
      <c r="GX13" s="19"/>
      <c r="GY13" s="144"/>
      <c r="GZ13" s="144"/>
      <c r="HA13" s="144"/>
      <c r="HB13" s="144"/>
      <c r="HC13" s="144"/>
      <c r="HD13" s="144"/>
      <c r="HE13" s="21"/>
      <c r="HM13" s="10"/>
      <c r="HN13" s="10"/>
      <c r="HW13" s="11"/>
      <c r="HZ13" s="10"/>
      <c r="II13" s="11"/>
      <c r="IL13" s="10"/>
      <c r="IU13" s="11"/>
      <c r="IX13" s="10"/>
      <c r="JG13" s="11"/>
      <c r="JJ13" s="10"/>
      <c r="JS13" s="11"/>
      <c r="JV13" s="10"/>
      <c r="KE13" s="11"/>
      <c r="KF13" s="11"/>
      <c r="KJ13" s="19"/>
      <c r="KK13" s="144"/>
      <c r="KL13" s="144"/>
      <c r="KM13" s="144"/>
      <c r="KN13" s="144"/>
      <c r="KO13" s="144"/>
      <c r="KP13" s="144"/>
      <c r="KQ13" s="21"/>
      <c r="KX13" s="22"/>
      <c r="KY13" s="23"/>
      <c r="KZ13" s="23"/>
      <c r="LA13" s="23"/>
      <c r="LB13" s="147"/>
      <c r="LC13" s="147"/>
      <c r="LD13" s="147"/>
      <c r="LE13" s="147"/>
      <c r="LF13" s="147"/>
      <c r="LG13" s="147"/>
      <c r="LH13" s="147"/>
      <c r="LI13" s="23"/>
      <c r="LJ13" s="23"/>
      <c r="LK13" s="23"/>
      <c r="LL13" s="24"/>
      <c r="LP13" s="11"/>
    </row>
    <row r="14" spans="2:328" ht="15" customHeight="1" x14ac:dyDescent="0.25">
      <c r="B14" s="7"/>
      <c r="C14" s="8"/>
      <c r="D14" s="8"/>
      <c r="E14" s="8"/>
      <c r="F14" s="8"/>
      <c r="G14" s="8"/>
      <c r="H14" s="8"/>
      <c r="I14" s="8"/>
      <c r="J14" s="9"/>
      <c r="O14" s="10"/>
      <c r="P14" s="10"/>
      <c r="Y14" s="11"/>
      <c r="AB14" s="10"/>
      <c r="AK14" s="11"/>
      <c r="AN14" s="10"/>
      <c r="AW14" s="11"/>
      <c r="AZ14" s="10"/>
      <c r="BI14" s="11"/>
      <c r="BL14" s="10"/>
      <c r="BU14" s="11"/>
      <c r="BX14" s="10"/>
      <c r="CG14" s="11"/>
      <c r="CJ14" s="10"/>
      <c r="CS14" s="11"/>
      <c r="CV14" s="10"/>
      <c r="DE14" s="11"/>
      <c r="DH14" s="11"/>
      <c r="DO14" s="10"/>
      <c r="DP14" s="10"/>
      <c r="DY14" s="11"/>
      <c r="EB14" s="10"/>
      <c r="EK14" s="11"/>
      <c r="EN14" s="10"/>
      <c r="EW14" s="11"/>
      <c r="EZ14" s="10"/>
      <c r="FI14" s="11"/>
      <c r="FL14" s="10"/>
      <c r="FU14" s="11"/>
      <c r="FX14" s="10"/>
      <c r="GG14" s="11"/>
      <c r="GJ14" s="10"/>
      <c r="GS14" s="11"/>
      <c r="GT14" s="11"/>
      <c r="GX14" s="19"/>
      <c r="GY14" s="144"/>
      <c r="GZ14" s="144"/>
      <c r="HA14" s="144"/>
      <c r="HB14" s="144"/>
      <c r="HC14" s="144"/>
      <c r="HD14" s="144"/>
      <c r="HE14" s="21"/>
      <c r="HM14" s="10"/>
      <c r="HN14" s="10"/>
      <c r="HW14" s="11"/>
      <c r="HZ14" s="10"/>
      <c r="II14" s="11"/>
      <c r="IL14" s="10"/>
      <c r="IU14" s="11"/>
      <c r="IX14" s="10"/>
      <c r="JG14" s="11"/>
      <c r="JJ14" s="10"/>
      <c r="JS14" s="11"/>
      <c r="JV14" s="10"/>
      <c r="KE14" s="11"/>
      <c r="KF14" s="11"/>
      <c r="KJ14" s="19"/>
      <c r="KK14" s="144"/>
      <c r="KL14" s="144"/>
      <c r="KM14" s="144"/>
      <c r="KN14" s="144"/>
      <c r="KO14" s="144"/>
      <c r="KP14" s="144"/>
      <c r="KQ14" s="21"/>
      <c r="KX14" s="22"/>
      <c r="KY14" s="23"/>
      <c r="KZ14" s="23"/>
      <c r="LA14" s="23"/>
      <c r="LB14" s="147"/>
      <c r="LC14" s="147"/>
      <c r="LD14" s="147"/>
      <c r="LE14" s="147"/>
      <c r="LF14" s="147"/>
      <c r="LG14" s="147"/>
      <c r="LH14" s="147"/>
      <c r="LI14" s="23"/>
      <c r="LJ14" s="23"/>
      <c r="LK14" s="23"/>
      <c r="LL14" s="24"/>
      <c r="LP14" s="11"/>
    </row>
    <row r="15" spans="2:328" ht="15" customHeight="1" x14ac:dyDescent="0.25">
      <c r="B15" s="7"/>
      <c r="C15" s="8"/>
      <c r="D15" s="8"/>
      <c r="E15" s="8"/>
      <c r="F15" s="8"/>
      <c r="G15" s="8"/>
      <c r="H15" s="8"/>
      <c r="I15" s="8"/>
      <c r="J15" s="9"/>
      <c r="O15" s="10"/>
      <c r="P15" s="10"/>
      <c r="Y15" s="11"/>
      <c r="AB15" s="10"/>
      <c r="AK15" s="11"/>
      <c r="AN15" s="10"/>
      <c r="AW15" s="11"/>
      <c r="AZ15" s="10"/>
      <c r="BI15" s="11"/>
      <c r="BL15" s="10"/>
      <c r="BU15" s="11"/>
      <c r="BX15" s="10"/>
      <c r="CG15" s="11"/>
      <c r="CJ15" s="10"/>
      <c r="CS15" s="11"/>
      <c r="CV15" s="10"/>
      <c r="DE15" s="11"/>
      <c r="DH15" s="11"/>
      <c r="DO15" s="10"/>
      <c r="DP15" s="10"/>
      <c r="DY15" s="11"/>
      <c r="EB15" s="10"/>
      <c r="EK15" s="11"/>
      <c r="EN15" s="10"/>
      <c r="EW15" s="11"/>
      <c r="EZ15" s="10"/>
      <c r="FI15" s="11"/>
      <c r="FL15" s="10"/>
      <c r="FU15" s="11"/>
      <c r="FX15" s="10"/>
      <c r="GG15" s="11"/>
      <c r="GJ15" s="10"/>
      <c r="GS15" s="11"/>
      <c r="GT15" s="11"/>
      <c r="GX15" s="19"/>
      <c r="GY15" s="144"/>
      <c r="GZ15" s="144"/>
      <c r="HA15" s="144"/>
      <c r="HB15" s="144"/>
      <c r="HC15" s="144"/>
      <c r="HD15" s="144"/>
      <c r="HE15" s="21"/>
      <c r="HM15" s="10"/>
      <c r="HN15" s="10"/>
      <c r="HW15" s="11"/>
      <c r="HZ15" s="10"/>
      <c r="II15" s="11"/>
      <c r="IL15" s="10"/>
      <c r="IU15" s="11"/>
      <c r="IX15" s="10"/>
      <c r="JG15" s="11"/>
      <c r="JJ15" s="10"/>
      <c r="JS15" s="11"/>
      <c r="JV15" s="10"/>
      <c r="KE15" s="11"/>
      <c r="KF15" s="11"/>
      <c r="KJ15" s="19"/>
      <c r="KK15" s="144"/>
      <c r="KL15" s="144"/>
      <c r="KM15" s="144"/>
      <c r="KN15" s="144"/>
      <c r="KO15" s="144"/>
      <c r="KP15" s="144"/>
      <c r="KQ15" s="21"/>
      <c r="KX15" s="22"/>
      <c r="KY15" s="23"/>
      <c r="KZ15" s="23"/>
      <c r="LA15" s="23"/>
      <c r="LB15" s="147"/>
      <c r="LC15" s="147"/>
      <c r="LD15" s="147"/>
      <c r="LE15" s="147"/>
      <c r="LF15" s="147"/>
      <c r="LG15" s="147"/>
      <c r="LH15" s="147"/>
      <c r="LI15" s="23"/>
      <c r="LJ15" s="23"/>
      <c r="LK15" s="23"/>
      <c r="LL15" s="24"/>
      <c r="LP15" s="11"/>
    </row>
    <row r="16" spans="2:328" ht="15" customHeight="1" x14ac:dyDescent="0.25">
      <c r="B16" s="7"/>
      <c r="C16" s="8"/>
      <c r="D16" s="8"/>
      <c r="E16" s="8"/>
      <c r="F16" s="8"/>
      <c r="G16" s="8"/>
      <c r="H16" s="8"/>
      <c r="I16" s="8"/>
      <c r="J16" s="9"/>
      <c r="O16" s="10"/>
      <c r="P16" s="10"/>
      <c r="V16" s="148" t="s">
        <v>5</v>
      </c>
      <c r="W16" s="148"/>
      <c r="X16" s="148"/>
      <c r="Y16" s="11"/>
      <c r="AB16" s="10"/>
      <c r="AK16" s="11"/>
      <c r="AN16" s="10"/>
      <c r="AW16" s="11"/>
      <c r="AZ16" s="10"/>
      <c r="BI16" s="11"/>
      <c r="BL16" s="10"/>
      <c r="BU16" s="11"/>
      <c r="BX16" s="10"/>
      <c r="CG16" s="11"/>
      <c r="CJ16" s="10"/>
      <c r="CS16" s="11"/>
      <c r="CV16" s="10"/>
      <c r="DB16" s="148" t="s">
        <v>5</v>
      </c>
      <c r="DC16" s="148"/>
      <c r="DD16" s="148"/>
      <c r="DE16" s="11"/>
      <c r="DH16" s="11"/>
      <c r="DO16" s="10"/>
      <c r="DP16" s="10"/>
      <c r="DY16" s="11"/>
      <c r="EB16" s="10"/>
      <c r="EK16" s="11"/>
      <c r="EN16" s="10"/>
      <c r="EW16" s="11"/>
      <c r="EZ16" s="10"/>
      <c r="FI16" s="11"/>
      <c r="FL16" s="10"/>
      <c r="FU16" s="11"/>
      <c r="FX16" s="10"/>
      <c r="GG16" s="11"/>
      <c r="GJ16" s="10"/>
      <c r="GS16" s="11"/>
      <c r="GT16" s="11"/>
      <c r="GX16" s="19"/>
      <c r="GY16" s="144"/>
      <c r="GZ16" s="144"/>
      <c r="HA16" s="144"/>
      <c r="HB16" s="144"/>
      <c r="HC16" s="144"/>
      <c r="HD16" s="144"/>
      <c r="HE16" s="21"/>
      <c r="HM16" s="10"/>
      <c r="HN16" s="10"/>
      <c r="HW16" s="11"/>
      <c r="HZ16" s="10"/>
      <c r="II16" s="11"/>
      <c r="IL16" s="10"/>
      <c r="IU16" s="11"/>
      <c r="IX16" s="10"/>
      <c r="JG16" s="11"/>
      <c r="JJ16" s="10"/>
      <c r="JS16" s="11"/>
      <c r="JV16" s="10"/>
      <c r="KE16" s="11"/>
      <c r="KF16" s="11"/>
      <c r="KJ16" s="19"/>
      <c r="KK16" s="144"/>
      <c r="KL16" s="144"/>
      <c r="KM16" s="144"/>
      <c r="KN16" s="144"/>
      <c r="KO16" s="144"/>
      <c r="KP16" s="144"/>
      <c r="KQ16" s="21"/>
      <c r="KX16" s="22"/>
      <c r="KY16" s="23"/>
      <c r="KZ16" s="23"/>
      <c r="LA16" s="23"/>
      <c r="LB16" s="147"/>
      <c r="LC16" s="147"/>
      <c r="LD16" s="147"/>
      <c r="LE16" s="147"/>
      <c r="LF16" s="147"/>
      <c r="LG16" s="147"/>
      <c r="LH16" s="147"/>
      <c r="LI16" s="23"/>
      <c r="LJ16" s="23"/>
      <c r="LK16" s="23"/>
      <c r="LL16" s="24"/>
      <c r="LP16" s="11"/>
    </row>
    <row r="17" spans="2:328" ht="15" customHeight="1" x14ac:dyDescent="0.25">
      <c r="B17" s="7"/>
      <c r="C17" s="8"/>
      <c r="D17" s="8"/>
      <c r="E17" s="8"/>
      <c r="F17" s="8"/>
      <c r="G17" s="8"/>
      <c r="H17" s="8"/>
      <c r="I17" s="8"/>
      <c r="J17" s="9"/>
      <c r="O17" s="10"/>
      <c r="P17" s="10"/>
      <c r="V17" s="148"/>
      <c r="W17" s="148"/>
      <c r="X17" s="148"/>
      <c r="Y17" s="11"/>
      <c r="AB17" s="10"/>
      <c r="AC17" s="139" t="s">
        <v>5</v>
      </c>
      <c r="AD17" s="139"/>
      <c r="AE17" s="139"/>
      <c r="AF17" s="139"/>
      <c r="AG17" s="139"/>
      <c r="AH17" s="139"/>
      <c r="AI17" s="139"/>
      <c r="AJ17" s="139"/>
      <c r="AK17" s="25"/>
      <c r="AN17" s="10"/>
      <c r="AO17" s="139" t="s">
        <v>5</v>
      </c>
      <c r="AP17" s="139"/>
      <c r="AQ17" s="139"/>
      <c r="AR17" s="139"/>
      <c r="AS17" s="139"/>
      <c r="AT17" s="139"/>
      <c r="AU17" s="139"/>
      <c r="AV17" s="139"/>
      <c r="AW17" s="25"/>
      <c r="AZ17" s="10"/>
      <c r="BA17" s="139" t="s">
        <v>5</v>
      </c>
      <c r="BB17" s="139"/>
      <c r="BC17" s="139"/>
      <c r="BD17" s="139"/>
      <c r="BE17" s="139"/>
      <c r="BF17" s="139"/>
      <c r="BG17" s="139"/>
      <c r="BH17" s="139"/>
      <c r="BI17" s="25"/>
      <c r="BJ17" s="26"/>
      <c r="BL17" s="10"/>
      <c r="BM17" s="139" t="s">
        <v>5</v>
      </c>
      <c r="BN17" s="139"/>
      <c r="BO17" s="139"/>
      <c r="BP17" s="139"/>
      <c r="BQ17" s="139"/>
      <c r="BR17" s="139"/>
      <c r="BS17" s="139"/>
      <c r="BT17" s="139"/>
      <c r="BU17" s="25"/>
      <c r="BX17" s="10"/>
      <c r="BY17" s="139" t="s">
        <v>5</v>
      </c>
      <c r="BZ17" s="139"/>
      <c r="CA17" s="139"/>
      <c r="CB17" s="139"/>
      <c r="CC17" s="139"/>
      <c r="CD17" s="139"/>
      <c r="CE17" s="139"/>
      <c r="CF17" s="139"/>
      <c r="CG17" s="25"/>
      <c r="CJ17" s="10"/>
      <c r="CK17" s="139" t="s">
        <v>5</v>
      </c>
      <c r="CL17" s="139"/>
      <c r="CM17" s="139"/>
      <c r="CN17" s="139"/>
      <c r="CO17" s="139"/>
      <c r="CP17" s="139"/>
      <c r="CQ17" s="139"/>
      <c r="CR17" s="139"/>
      <c r="CS17" s="25"/>
      <c r="CV17" s="10"/>
      <c r="DB17" s="148"/>
      <c r="DC17" s="148"/>
      <c r="DD17" s="148"/>
      <c r="DE17" s="11"/>
      <c r="DH17" s="11"/>
      <c r="DO17" s="10"/>
      <c r="DP17" s="10"/>
      <c r="DQ17" s="139" t="s">
        <v>5</v>
      </c>
      <c r="DR17" s="139"/>
      <c r="DS17" s="139"/>
      <c r="DT17" s="139"/>
      <c r="DU17" s="139"/>
      <c r="DV17" s="139"/>
      <c r="DW17" s="139"/>
      <c r="DX17" s="139"/>
      <c r="DY17" s="25"/>
      <c r="EB17" s="10"/>
      <c r="EC17" s="139" t="s">
        <v>5</v>
      </c>
      <c r="ED17" s="139"/>
      <c r="EE17" s="139"/>
      <c r="EF17" s="139"/>
      <c r="EG17" s="139"/>
      <c r="EH17" s="139"/>
      <c r="EI17" s="139"/>
      <c r="EJ17" s="139"/>
      <c r="EK17" s="25"/>
      <c r="EN17" s="10"/>
      <c r="EO17" s="139" t="s">
        <v>5</v>
      </c>
      <c r="EP17" s="139"/>
      <c r="EQ17" s="139"/>
      <c r="ER17" s="139"/>
      <c r="ES17" s="139"/>
      <c r="ET17" s="139"/>
      <c r="EU17" s="139"/>
      <c r="EV17" s="139"/>
      <c r="EW17" s="25"/>
      <c r="EZ17" s="10"/>
      <c r="FA17" s="139" t="s">
        <v>5</v>
      </c>
      <c r="FB17" s="139"/>
      <c r="FC17" s="139"/>
      <c r="FD17" s="139"/>
      <c r="FE17" s="139"/>
      <c r="FF17" s="139"/>
      <c r="FG17" s="139"/>
      <c r="FH17" s="139"/>
      <c r="FI17" s="25"/>
      <c r="FL17" s="10"/>
      <c r="FM17" s="139" t="s">
        <v>5</v>
      </c>
      <c r="FN17" s="139"/>
      <c r="FO17" s="139"/>
      <c r="FP17" s="139"/>
      <c r="FQ17" s="139"/>
      <c r="FR17" s="139"/>
      <c r="FS17" s="139"/>
      <c r="FT17" s="139"/>
      <c r="FU17" s="25"/>
      <c r="FX17" s="10"/>
      <c r="FY17" s="139" t="s">
        <v>5</v>
      </c>
      <c r="FZ17" s="139"/>
      <c r="GA17" s="139"/>
      <c r="GB17" s="139"/>
      <c r="GC17" s="139"/>
      <c r="GD17" s="139"/>
      <c r="GE17" s="139"/>
      <c r="GF17" s="139"/>
      <c r="GG17" s="25"/>
      <c r="GJ17" s="10"/>
      <c r="GK17" s="139" t="s">
        <v>5</v>
      </c>
      <c r="GL17" s="139"/>
      <c r="GM17" s="139"/>
      <c r="GN17" s="139"/>
      <c r="GO17" s="139"/>
      <c r="GP17" s="139"/>
      <c r="GQ17" s="139"/>
      <c r="GR17" s="139"/>
      <c r="GS17" s="25"/>
      <c r="GT17" s="11"/>
      <c r="GX17" s="19"/>
      <c r="GY17" s="144"/>
      <c r="GZ17" s="144"/>
      <c r="HA17" s="144"/>
      <c r="HB17" s="144"/>
      <c r="HC17" s="144"/>
      <c r="HD17" s="144"/>
      <c r="HE17" s="21"/>
      <c r="HM17" s="10"/>
      <c r="HN17" s="10"/>
      <c r="HO17" s="139" t="s">
        <v>5</v>
      </c>
      <c r="HP17" s="139"/>
      <c r="HQ17" s="139"/>
      <c r="HR17" s="139"/>
      <c r="HS17" s="139"/>
      <c r="HT17" s="139"/>
      <c r="HU17" s="139"/>
      <c r="HV17" s="139"/>
      <c r="HW17" s="25"/>
      <c r="HZ17" s="10"/>
      <c r="IA17" s="139" t="s">
        <v>5</v>
      </c>
      <c r="IB17" s="139"/>
      <c r="IC17" s="139"/>
      <c r="ID17" s="139"/>
      <c r="IE17" s="139"/>
      <c r="IF17" s="139"/>
      <c r="IG17" s="139"/>
      <c r="IH17" s="139"/>
      <c r="II17" s="25"/>
      <c r="IL17" s="10"/>
      <c r="IM17" s="139" t="s">
        <v>5</v>
      </c>
      <c r="IN17" s="139"/>
      <c r="IO17" s="139"/>
      <c r="IP17" s="139"/>
      <c r="IQ17" s="139"/>
      <c r="IR17" s="139"/>
      <c r="IS17" s="139"/>
      <c r="IT17" s="139"/>
      <c r="IU17" s="25"/>
      <c r="IX17" s="10"/>
      <c r="IY17" s="139" t="s">
        <v>5</v>
      </c>
      <c r="IZ17" s="139"/>
      <c r="JA17" s="139"/>
      <c r="JB17" s="139"/>
      <c r="JC17" s="139"/>
      <c r="JD17" s="139"/>
      <c r="JE17" s="139"/>
      <c r="JF17" s="139"/>
      <c r="JG17" s="25"/>
      <c r="JJ17" s="10"/>
      <c r="JK17" s="139" t="s">
        <v>5</v>
      </c>
      <c r="JL17" s="139"/>
      <c r="JM17" s="139"/>
      <c r="JN17" s="139"/>
      <c r="JO17" s="139"/>
      <c r="JP17" s="139"/>
      <c r="JQ17" s="139"/>
      <c r="JR17" s="139"/>
      <c r="JS17" s="25"/>
      <c r="JV17" s="10"/>
      <c r="JW17" s="139" t="s">
        <v>5</v>
      </c>
      <c r="JX17" s="139"/>
      <c r="JY17" s="139"/>
      <c r="JZ17" s="139"/>
      <c r="KA17" s="139"/>
      <c r="KB17" s="139"/>
      <c r="KC17" s="139"/>
      <c r="KD17" s="139"/>
      <c r="KE17" s="25"/>
      <c r="KF17" s="11"/>
      <c r="KJ17" s="19"/>
      <c r="KK17" s="144"/>
      <c r="KL17" s="144"/>
      <c r="KM17" s="144"/>
      <c r="KN17" s="144"/>
      <c r="KO17" s="144"/>
      <c r="KP17" s="144"/>
      <c r="KQ17" s="21"/>
      <c r="KX17" s="22"/>
      <c r="KY17" s="23"/>
      <c r="KZ17" s="23"/>
      <c r="LA17" s="23"/>
      <c r="LB17" s="147"/>
      <c r="LC17" s="147"/>
      <c r="LD17" s="147"/>
      <c r="LE17" s="147"/>
      <c r="LF17" s="147"/>
      <c r="LG17" s="147"/>
      <c r="LH17" s="147"/>
      <c r="LI17" s="23"/>
      <c r="LJ17" s="23"/>
      <c r="LK17" s="23"/>
      <c r="LL17" s="24"/>
      <c r="LP17" s="11"/>
    </row>
    <row r="18" spans="2:328" ht="15" customHeight="1" x14ac:dyDescent="0.25">
      <c r="B18" s="7"/>
      <c r="C18" s="8"/>
      <c r="D18" s="8"/>
      <c r="E18" s="8"/>
      <c r="F18" s="8"/>
      <c r="G18" s="8"/>
      <c r="H18" s="8"/>
      <c r="I18" s="8"/>
      <c r="J18" s="9"/>
      <c r="O18" s="10"/>
      <c r="P18" s="10"/>
      <c r="V18" s="145">
        <v>14</v>
      </c>
      <c r="W18" s="145"/>
      <c r="X18" s="145"/>
      <c r="Y18" s="11"/>
      <c r="AB18" s="10"/>
      <c r="AC18" s="139">
        <v>13</v>
      </c>
      <c r="AD18" s="139"/>
      <c r="AE18" s="139"/>
      <c r="AH18" s="139">
        <v>12</v>
      </c>
      <c r="AI18" s="139"/>
      <c r="AJ18" s="139"/>
      <c r="AK18" s="25"/>
      <c r="AN18" s="10"/>
      <c r="AO18" s="139">
        <v>11</v>
      </c>
      <c r="AP18" s="139"/>
      <c r="AQ18" s="139"/>
      <c r="AT18" s="139">
        <v>10</v>
      </c>
      <c r="AU18" s="139"/>
      <c r="AV18" s="139"/>
      <c r="AW18" s="25"/>
      <c r="AZ18" s="10"/>
      <c r="BA18" s="139">
        <v>9</v>
      </c>
      <c r="BB18" s="139"/>
      <c r="BC18" s="139"/>
      <c r="BF18" s="139">
        <v>8</v>
      </c>
      <c r="BG18" s="139"/>
      <c r="BH18" s="139"/>
      <c r="BI18" s="25"/>
      <c r="BJ18" s="26"/>
      <c r="BL18" s="10"/>
      <c r="BM18" s="139">
        <v>7</v>
      </c>
      <c r="BN18" s="139"/>
      <c r="BO18" s="139"/>
      <c r="BR18" s="139">
        <v>6</v>
      </c>
      <c r="BS18" s="139"/>
      <c r="BT18" s="139"/>
      <c r="BU18" s="25"/>
      <c r="BX18" s="10"/>
      <c r="BY18" s="139">
        <v>5</v>
      </c>
      <c r="BZ18" s="139"/>
      <c r="CA18" s="139"/>
      <c r="CD18" s="139">
        <v>4</v>
      </c>
      <c r="CE18" s="139"/>
      <c r="CF18" s="139"/>
      <c r="CG18" s="25"/>
      <c r="CJ18" s="10"/>
      <c r="CK18" s="139">
        <v>3</v>
      </c>
      <c r="CL18" s="139"/>
      <c r="CM18" s="139"/>
      <c r="CP18" s="139">
        <v>2</v>
      </c>
      <c r="CQ18" s="139"/>
      <c r="CR18" s="139"/>
      <c r="CS18" s="25"/>
      <c r="CV18" s="10"/>
      <c r="DB18" s="139">
        <v>1</v>
      </c>
      <c r="DC18" s="139"/>
      <c r="DD18" s="139"/>
      <c r="DE18" s="11"/>
      <c r="DH18" s="11"/>
      <c r="DO18" s="10"/>
      <c r="DP18" s="10"/>
      <c r="DQ18" s="139">
        <v>1</v>
      </c>
      <c r="DR18" s="139"/>
      <c r="DS18" s="139"/>
      <c r="DV18" s="139">
        <v>2</v>
      </c>
      <c r="DW18" s="139"/>
      <c r="DX18" s="139"/>
      <c r="DY18" s="25"/>
      <c r="EB18" s="10"/>
      <c r="EC18" s="139">
        <v>3</v>
      </c>
      <c r="ED18" s="139"/>
      <c r="EE18" s="139"/>
      <c r="EH18" s="139">
        <v>4</v>
      </c>
      <c r="EI18" s="139"/>
      <c r="EJ18" s="139"/>
      <c r="EK18" s="25"/>
      <c r="EN18" s="10"/>
      <c r="EO18" s="139">
        <v>5</v>
      </c>
      <c r="EP18" s="139"/>
      <c r="EQ18" s="139"/>
      <c r="ET18" s="139">
        <v>6</v>
      </c>
      <c r="EU18" s="139"/>
      <c r="EV18" s="139"/>
      <c r="EW18" s="25"/>
      <c r="EZ18" s="10"/>
      <c r="FA18" s="139">
        <v>7</v>
      </c>
      <c r="FB18" s="139"/>
      <c r="FC18" s="139"/>
      <c r="FF18" s="139">
        <v>8</v>
      </c>
      <c r="FG18" s="139"/>
      <c r="FH18" s="139"/>
      <c r="FI18" s="25"/>
      <c r="FL18" s="10"/>
      <c r="FM18" s="139">
        <v>9</v>
      </c>
      <c r="FN18" s="139"/>
      <c r="FO18" s="139"/>
      <c r="FR18" s="139">
        <v>10</v>
      </c>
      <c r="FS18" s="139"/>
      <c r="FT18" s="139"/>
      <c r="FU18" s="25"/>
      <c r="FX18" s="10"/>
      <c r="FY18" s="139">
        <v>11</v>
      </c>
      <c r="FZ18" s="139"/>
      <c r="GA18" s="139"/>
      <c r="GD18" s="139">
        <v>12</v>
      </c>
      <c r="GE18" s="139"/>
      <c r="GF18" s="139"/>
      <c r="GG18" s="25"/>
      <c r="GJ18" s="10"/>
      <c r="GK18" s="139">
        <v>13</v>
      </c>
      <c r="GL18" s="139"/>
      <c r="GM18" s="139"/>
      <c r="GP18" s="139">
        <v>14</v>
      </c>
      <c r="GQ18" s="139"/>
      <c r="GR18" s="139"/>
      <c r="GS18" s="25"/>
      <c r="GT18" s="11"/>
      <c r="GX18" s="19"/>
      <c r="GY18" s="144"/>
      <c r="GZ18" s="144"/>
      <c r="HA18" s="144"/>
      <c r="HB18" s="144"/>
      <c r="HC18" s="144"/>
      <c r="HD18" s="144"/>
      <c r="HE18" s="21"/>
      <c r="HM18" s="10"/>
      <c r="HN18" s="10"/>
      <c r="HU18" s="26"/>
      <c r="HV18" s="26"/>
      <c r="HW18" s="25"/>
      <c r="HZ18" s="10"/>
      <c r="IG18" s="26"/>
      <c r="IH18" s="26"/>
      <c r="II18" s="25"/>
      <c r="IL18" s="10"/>
      <c r="IS18" s="26"/>
      <c r="IT18" s="26"/>
      <c r="IU18" s="25"/>
      <c r="IX18" s="10"/>
      <c r="JE18" s="26"/>
      <c r="JF18" s="26"/>
      <c r="JG18" s="25"/>
      <c r="JJ18" s="10"/>
      <c r="JQ18" s="26"/>
      <c r="JR18" s="26"/>
      <c r="JS18" s="25"/>
      <c r="JV18" s="10"/>
      <c r="KC18" s="26"/>
      <c r="KD18" s="26"/>
      <c r="KE18" s="25"/>
      <c r="KF18" s="11"/>
      <c r="KJ18" s="19"/>
      <c r="KK18" s="144"/>
      <c r="KL18" s="144"/>
      <c r="KM18" s="144"/>
      <c r="KN18" s="144"/>
      <c r="KO18" s="144"/>
      <c r="KP18" s="144"/>
      <c r="KQ18" s="21"/>
      <c r="KX18" s="22"/>
      <c r="KY18" s="23"/>
      <c r="KZ18" s="23"/>
      <c r="LA18" s="23"/>
      <c r="LB18" s="147"/>
      <c r="LC18" s="147"/>
      <c r="LD18" s="147"/>
      <c r="LE18" s="147"/>
      <c r="LF18" s="147"/>
      <c r="LG18" s="147"/>
      <c r="LH18" s="147"/>
      <c r="LI18" s="23"/>
      <c r="LJ18" s="23"/>
      <c r="LK18" s="23"/>
      <c r="LL18" s="24"/>
      <c r="LP18" s="11"/>
    </row>
    <row r="19" spans="2:328" ht="15" customHeight="1" x14ac:dyDescent="0.25">
      <c r="B19" s="7"/>
      <c r="C19" s="8"/>
      <c r="D19" s="8"/>
      <c r="E19" s="8"/>
      <c r="F19" s="8"/>
      <c r="G19" s="8"/>
      <c r="H19" s="8"/>
      <c r="I19" s="8"/>
      <c r="J19" s="9"/>
      <c r="O19" s="10"/>
      <c r="P19" s="10"/>
      <c r="Y19" s="11"/>
      <c r="AB19" s="10"/>
      <c r="AK19" s="11"/>
      <c r="AN19" s="10"/>
      <c r="AW19" s="11"/>
      <c r="AZ19" s="10"/>
      <c r="BI19" s="11"/>
      <c r="BL19" s="10"/>
      <c r="BU19" s="11"/>
      <c r="BX19" s="10"/>
      <c r="CG19" s="11"/>
      <c r="CJ19" s="10"/>
      <c r="CS19" s="11"/>
      <c r="CV19" s="10"/>
      <c r="DE19" s="11"/>
      <c r="DH19" s="11"/>
      <c r="DO19" s="10"/>
      <c r="DP19" s="10"/>
      <c r="DY19" s="11"/>
      <c r="EB19" s="10"/>
      <c r="EK19" s="11"/>
      <c r="EN19" s="10"/>
      <c r="EW19" s="11"/>
      <c r="EZ19" s="10"/>
      <c r="FI19" s="11"/>
      <c r="FL19" s="10"/>
      <c r="FU19" s="11"/>
      <c r="FX19" s="10"/>
      <c r="GG19" s="11"/>
      <c r="GJ19" s="10"/>
      <c r="GS19" s="11"/>
      <c r="GT19" s="11"/>
      <c r="GX19" s="19"/>
      <c r="GY19" s="144"/>
      <c r="GZ19" s="144"/>
      <c r="HA19" s="144"/>
      <c r="HB19" s="144"/>
      <c r="HC19" s="144"/>
      <c r="HD19" s="144"/>
      <c r="HE19" s="21"/>
      <c r="HM19" s="10"/>
      <c r="HN19" s="10"/>
      <c r="HO19" s="139">
        <v>277</v>
      </c>
      <c r="HP19" s="139"/>
      <c r="HQ19" s="139"/>
      <c r="HT19" s="139">
        <v>278</v>
      </c>
      <c r="HU19" s="139"/>
      <c r="HV19" s="139"/>
      <c r="HW19" s="11"/>
      <c r="HZ19" s="10"/>
      <c r="IA19" s="139">
        <v>279</v>
      </c>
      <c r="IB19" s="139"/>
      <c r="IC19" s="139"/>
      <c r="IF19" s="139">
        <v>280</v>
      </c>
      <c r="IG19" s="139"/>
      <c r="IH19" s="139"/>
      <c r="II19" s="11"/>
      <c r="IL19" s="10"/>
      <c r="IM19" s="139">
        <v>281</v>
      </c>
      <c r="IN19" s="139"/>
      <c r="IO19" s="139"/>
      <c r="IR19" s="139">
        <v>282</v>
      </c>
      <c r="IS19" s="139"/>
      <c r="IT19" s="139"/>
      <c r="IU19" s="11"/>
      <c r="IX19" s="10"/>
      <c r="IY19" s="139">
        <v>276</v>
      </c>
      <c r="IZ19" s="139"/>
      <c r="JA19" s="139"/>
      <c r="JD19" s="139">
        <v>275</v>
      </c>
      <c r="JE19" s="139"/>
      <c r="JF19" s="139"/>
      <c r="JG19" s="11"/>
      <c r="JJ19" s="10"/>
      <c r="JK19" s="139">
        <v>274</v>
      </c>
      <c r="JL19" s="139"/>
      <c r="JM19" s="139"/>
      <c r="JP19" s="139">
        <v>273</v>
      </c>
      <c r="JQ19" s="139"/>
      <c r="JR19" s="139"/>
      <c r="JS19" s="11"/>
      <c r="JV19" s="10"/>
      <c r="JW19" s="139">
        <v>272</v>
      </c>
      <c r="JX19" s="139"/>
      <c r="JY19" s="139"/>
      <c r="KB19" s="139">
        <v>271</v>
      </c>
      <c r="KC19" s="139"/>
      <c r="KD19" s="139"/>
      <c r="KE19" s="11"/>
      <c r="KF19" s="11"/>
      <c r="KJ19" s="19"/>
      <c r="KK19" s="144"/>
      <c r="KL19" s="144"/>
      <c r="KM19" s="144"/>
      <c r="KN19" s="144"/>
      <c r="KO19" s="144"/>
      <c r="KP19" s="144"/>
      <c r="KQ19" s="21"/>
      <c r="KX19" s="22"/>
      <c r="KY19" s="23"/>
      <c r="KZ19" s="23"/>
      <c r="LA19" s="23"/>
      <c r="LB19" s="147"/>
      <c r="LC19" s="147"/>
      <c r="LD19" s="147"/>
      <c r="LE19" s="147"/>
      <c r="LF19" s="147"/>
      <c r="LG19" s="147"/>
      <c r="LH19" s="147"/>
      <c r="LI19" s="23"/>
      <c r="LJ19" s="23"/>
      <c r="LK19" s="23"/>
      <c r="LL19" s="24"/>
      <c r="LP19" s="11"/>
    </row>
    <row r="20" spans="2:328" ht="15" customHeight="1" x14ac:dyDescent="0.25">
      <c r="B20" s="7"/>
      <c r="C20" s="8"/>
      <c r="D20" s="8"/>
      <c r="E20" s="8"/>
      <c r="F20" s="8"/>
      <c r="G20" s="8"/>
      <c r="H20" s="8"/>
      <c r="I20" s="8"/>
      <c r="J20" s="9"/>
      <c r="O20" s="10"/>
      <c r="P20" s="10"/>
      <c r="Y20" s="11"/>
      <c r="AB20" s="10"/>
      <c r="AK20" s="11"/>
      <c r="AN20" s="10"/>
      <c r="AW20" s="11"/>
      <c r="AZ20" s="10"/>
      <c r="BI20" s="11"/>
      <c r="BL20" s="10"/>
      <c r="BU20" s="11"/>
      <c r="BX20" s="10"/>
      <c r="CG20" s="11"/>
      <c r="CJ20" s="10"/>
      <c r="CS20" s="11"/>
      <c r="CV20" s="10"/>
      <c r="DE20" s="11"/>
      <c r="DH20" s="11"/>
      <c r="DO20" s="10"/>
      <c r="DP20" s="10"/>
      <c r="DY20" s="11"/>
      <c r="EB20" s="10"/>
      <c r="EK20" s="11"/>
      <c r="EN20" s="10"/>
      <c r="EW20" s="11"/>
      <c r="EZ20" s="10"/>
      <c r="FI20" s="11"/>
      <c r="FL20" s="10"/>
      <c r="FU20" s="11"/>
      <c r="FX20" s="10"/>
      <c r="GG20" s="11"/>
      <c r="GJ20" s="10"/>
      <c r="GS20" s="11"/>
      <c r="GT20" s="11"/>
      <c r="GX20" s="19"/>
      <c r="GY20" s="144"/>
      <c r="GZ20" s="144"/>
      <c r="HA20" s="144"/>
      <c r="HB20" s="144"/>
      <c r="HC20" s="144"/>
      <c r="HD20" s="144"/>
      <c r="HE20" s="21"/>
      <c r="HM20" s="10"/>
      <c r="HN20" s="10"/>
      <c r="HW20" s="11"/>
      <c r="HZ20" s="10"/>
      <c r="II20" s="11"/>
      <c r="IL20" s="10"/>
      <c r="IU20" s="11"/>
      <c r="IX20" s="10"/>
      <c r="JG20" s="11"/>
      <c r="JJ20" s="10"/>
      <c r="JS20" s="11"/>
      <c r="JV20" s="10"/>
      <c r="KE20" s="11"/>
      <c r="KF20" s="11"/>
      <c r="KJ20" s="19"/>
      <c r="KK20" s="144"/>
      <c r="KL20" s="144"/>
      <c r="KM20" s="144"/>
      <c r="KN20" s="144"/>
      <c r="KO20" s="144"/>
      <c r="KP20" s="144"/>
      <c r="KQ20" s="21"/>
      <c r="KX20" s="22"/>
      <c r="KY20" s="23"/>
      <c r="KZ20" s="23"/>
      <c r="LA20" s="23"/>
      <c r="LB20" s="147"/>
      <c r="LC20" s="147"/>
      <c r="LD20" s="147"/>
      <c r="LE20" s="147"/>
      <c r="LF20" s="147"/>
      <c r="LG20" s="147"/>
      <c r="LH20" s="147"/>
      <c r="LI20" s="23"/>
      <c r="LJ20" s="23"/>
      <c r="LK20" s="23"/>
      <c r="LL20" s="24"/>
      <c r="LP20" s="11"/>
    </row>
    <row r="21" spans="2:328" ht="15" customHeight="1" x14ac:dyDescent="0.25">
      <c r="B21" s="7"/>
      <c r="C21" s="8"/>
      <c r="D21" s="8"/>
      <c r="E21" s="8"/>
      <c r="F21" s="8"/>
      <c r="G21" s="8"/>
      <c r="H21" s="8"/>
      <c r="I21" s="8"/>
      <c r="J21" s="9"/>
      <c r="O21" s="10"/>
      <c r="P21" s="10"/>
      <c r="V21" s="27"/>
      <c r="X21" s="28"/>
      <c r="Y21" s="11"/>
      <c r="AB21" s="10"/>
      <c r="AC21" s="27"/>
      <c r="AE21" s="28"/>
      <c r="AH21" s="27"/>
      <c r="AJ21" s="28"/>
      <c r="AK21" s="11"/>
      <c r="AN21" s="10"/>
      <c r="AO21" s="27"/>
      <c r="AQ21" s="28"/>
      <c r="AT21" s="27"/>
      <c r="AV21" s="28"/>
      <c r="AW21" s="11"/>
      <c r="AZ21" s="10"/>
      <c r="BA21" s="27"/>
      <c r="BC21" s="28"/>
      <c r="BF21" s="27"/>
      <c r="BH21" s="28"/>
      <c r="BI21" s="11"/>
      <c r="BL21" s="10"/>
      <c r="BM21" s="27"/>
      <c r="BO21" s="28"/>
      <c r="BR21" s="27"/>
      <c r="BT21" s="28"/>
      <c r="BU21" s="11"/>
      <c r="BX21" s="10"/>
      <c r="BY21" s="27"/>
      <c r="CA21" s="28"/>
      <c r="CD21" s="27"/>
      <c r="CF21" s="28"/>
      <c r="CG21" s="11"/>
      <c r="CJ21" s="10"/>
      <c r="CK21" s="27"/>
      <c r="CM21" s="28"/>
      <c r="CP21" s="27"/>
      <c r="CR21" s="28"/>
      <c r="CS21" s="11"/>
      <c r="CV21" s="10"/>
      <c r="DB21" s="27"/>
      <c r="DD21" s="28"/>
      <c r="DE21" s="11"/>
      <c r="DH21" s="11"/>
      <c r="DO21" s="10"/>
      <c r="DP21" s="10"/>
      <c r="DQ21" s="27"/>
      <c r="DS21" s="28"/>
      <c r="DV21" s="27"/>
      <c r="DX21" s="28"/>
      <c r="DY21" s="11"/>
      <c r="EB21" s="10"/>
      <c r="EC21" s="27"/>
      <c r="EE21" s="28"/>
      <c r="EH21" s="27"/>
      <c r="EJ21" s="28"/>
      <c r="EK21" s="11"/>
      <c r="EN21" s="10"/>
      <c r="EO21" s="27"/>
      <c r="EQ21" s="28"/>
      <c r="ET21" s="27"/>
      <c r="EV21" s="28"/>
      <c r="EW21" s="11"/>
      <c r="EZ21" s="10"/>
      <c r="FA21" s="27"/>
      <c r="FC21" s="28"/>
      <c r="FF21" s="27"/>
      <c r="FH21" s="28"/>
      <c r="FI21" s="11"/>
      <c r="FL21" s="10"/>
      <c r="FM21" s="27"/>
      <c r="FO21" s="28"/>
      <c r="FR21" s="27"/>
      <c r="FT21" s="28"/>
      <c r="FU21" s="11"/>
      <c r="FX21" s="10"/>
      <c r="FY21" s="27"/>
      <c r="GA21" s="28"/>
      <c r="GD21" s="27"/>
      <c r="GF21" s="28"/>
      <c r="GG21" s="11"/>
      <c r="GJ21" s="10"/>
      <c r="GK21" s="27"/>
      <c r="GM21" s="28"/>
      <c r="GP21" s="27"/>
      <c r="GR21" s="28"/>
      <c r="GS21" s="11"/>
      <c r="GT21" s="11"/>
      <c r="GX21" s="19"/>
      <c r="GY21" s="144"/>
      <c r="GZ21" s="144"/>
      <c r="HA21" s="144"/>
      <c r="HB21" s="144"/>
      <c r="HC21" s="144"/>
      <c r="HD21" s="144"/>
      <c r="HE21" s="21"/>
      <c r="HM21" s="10"/>
      <c r="HN21" s="10"/>
      <c r="HO21" s="27"/>
      <c r="HQ21" s="28"/>
      <c r="HT21" s="27"/>
      <c r="HV21" s="28"/>
      <c r="HW21" s="11"/>
      <c r="HZ21" s="10"/>
      <c r="IA21" s="27"/>
      <c r="IC21" s="28"/>
      <c r="IF21" s="27"/>
      <c r="IH21" s="28"/>
      <c r="II21" s="11"/>
      <c r="IL21" s="10"/>
      <c r="IM21" s="27"/>
      <c r="IO21" s="28"/>
      <c r="IR21" s="27"/>
      <c r="IT21" s="28"/>
      <c r="IU21" s="11"/>
      <c r="IX21" s="10"/>
      <c r="IY21" s="27"/>
      <c r="JA21" s="28"/>
      <c r="JD21" s="27"/>
      <c r="JF21" s="28"/>
      <c r="JG21" s="11"/>
      <c r="JJ21" s="10"/>
      <c r="JK21" s="27"/>
      <c r="JM21" s="28"/>
      <c r="JP21" s="27"/>
      <c r="JR21" s="28"/>
      <c r="JS21" s="11"/>
      <c r="JV21" s="10"/>
      <c r="JW21" s="27"/>
      <c r="JY21" s="28"/>
      <c r="KB21" s="27"/>
      <c r="KD21" s="28"/>
      <c r="KE21" s="11"/>
      <c r="KF21" s="11"/>
      <c r="KJ21" s="19"/>
      <c r="KK21" s="144"/>
      <c r="KL21" s="144"/>
      <c r="KM21" s="144"/>
      <c r="KN21" s="144"/>
      <c r="KO21" s="144"/>
      <c r="KP21" s="144"/>
      <c r="KQ21" s="21"/>
      <c r="KX21" s="22"/>
      <c r="KY21" s="23"/>
      <c r="KZ21" s="23"/>
      <c r="LA21" s="23"/>
      <c r="LB21" s="23"/>
      <c r="LC21" s="23"/>
      <c r="LD21" s="23"/>
      <c r="LE21" s="23"/>
      <c r="LF21" s="23"/>
      <c r="LG21" s="23"/>
      <c r="LH21" s="23"/>
      <c r="LI21" s="23"/>
      <c r="LJ21" s="23"/>
      <c r="LK21" s="23"/>
      <c r="LL21" s="24"/>
      <c r="LP21" s="11"/>
    </row>
    <row r="22" spans="2:328" ht="15" customHeight="1" x14ac:dyDescent="0.25">
      <c r="B22" s="7"/>
      <c r="C22" s="8"/>
      <c r="D22" s="8"/>
      <c r="E22" s="8"/>
      <c r="F22" s="8"/>
      <c r="G22" s="8"/>
      <c r="H22" s="8"/>
      <c r="I22" s="8"/>
      <c r="J22" s="9"/>
      <c r="O22" s="10"/>
      <c r="P22" s="10"/>
      <c r="V22" s="27"/>
      <c r="X22" s="28"/>
      <c r="Y22" s="11"/>
      <c r="AB22" s="10"/>
      <c r="AC22" s="27"/>
      <c r="AE22" s="28"/>
      <c r="AH22" s="27"/>
      <c r="AJ22" s="28"/>
      <c r="AK22" s="11"/>
      <c r="AN22" s="10"/>
      <c r="AO22" s="27"/>
      <c r="AQ22" s="28"/>
      <c r="AT22" s="27"/>
      <c r="AV22" s="28"/>
      <c r="AW22" s="11"/>
      <c r="AZ22" s="10"/>
      <c r="BA22" s="27"/>
      <c r="BC22" s="28"/>
      <c r="BF22" s="27"/>
      <c r="BH22" s="28"/>
      <c r="BI22" s="11"/>
      <c r="BL22" s="10"/>
      <c r="BM22" s="27"/>
      <c r="BO22" s="28"/>
      <c r="BR22" s="27"/>
      <c r="BT22" s="28"/>
      <c r="BU22" s="11"/>
      <c r="BW22" s="29"/>
      <c r="BX22" s="10"/>
      <c r="BY22" s="27"/>
      <c r="CA22" s="28"/>
      <c r="CD22" s="27"/>
      <c r="CF22" s="28"/>
      <c r="CG22" s="11"/>
      <c r="CJ22" s="10"/>
      <c r="CK22" s="27"/>
      <c r="CM22" s="28"/>
      <c r="CP22" s="27"/>
      <c r="CR22" s="28"/>
      <c r="CS22" s="11"/>
      <c r="CV22" s="10"/>
      <c r="DB22" s="27"/>
      <c r="DD22" s="28"/>
      <c r="DE22" s="11"/>
      <c r="DH22" s="11"/>
      <c r="DO22" s="10"/>
      <c r="DP22" s="10"/>
      <c r="DQ22" s="27"/>
      <c r="DS22" s="28"/>
      <c r="DV22" s="27"/>
      <c r="DX22" s="28"/>
      <c r="DY22" s="11"/>
      <c r="EB22" s="10"/>
      <c r="EC22" s="27"/>
      <c r="EE22" s="28"/>
      <c r="EH22" s="27"/>
      <c r="EJ22" s="28"/>
      <c r="EK22" s="11"/>
      <c r="EN22" s="10"/>
      <c r="EO22" s="27"/>
      <c r="EQ22" s="28"/>
      <c r="ET22" s="27"/>
      <c r="EV22" s="28"/>
      <c r="EW22" s="11"/>
      <c r="EZ22" s="10"/>
      <c r="FA22" s="27"/>
      <c r="FC22" s="28"/>
      <c r="FF22" s="27"/>
      <c r="FH22" s="28"/>
      <c r="FI22" s="11"/>
      <c r="FL22" s="10"/>
      <c r="FM22" s="27"/>
      <c r="FO22" s="28"/>
      <c r="FR22" s="27"/>
      <c r="FT22" s="28"/>
      <c r="FU22" s="11"/>
      <c r="FX22" s="10"/>
      <c r="FY22" s="27"/>
      <c r="GA22" s="28"/>
      <c r="GD22" s="27"/>
      <c r="GF22" s="28"/>
      <c r="GG22" s="11"/>
      <c r="GJ22" s="10"/>
      <c r="GK22" s="27"/>
      <c r="GM22" s="28"/>
      <c r="GP22" s="27"/>
      <c r="GR22" s="28"/>
      <c r="GS22" s="11"/>
      <c r="GT22" s="11"/>
      <c r="GX22" s="19"/>
      <c r="GY22" s="144"/>
      <c r="GZ22" s="144"/>
      <c r="HA22" s="144"/>
      <c r="HB22" s="144"/>
      <c r="HC22" s="144"/>
      <c r="HD22" s="144"/>
      <c r="HE22" s="21"/>
      <c r="HM22" s="10"/>
      <c r="HN22" s="10"/>
      <c r="HO22" s="27"/>
      <c r="HQ22" s="28"/>
      <c r="HT22" s="27"/>
      <c r="HV22" s="28"/>
      <c r="HW22" s="11"/>
      <c r="HZ22" s="10"/>
      <c r="IA22" s="27"/>
      <c r="IC22" s="28"/>
      <c r="IF22" s="27"/>
      <c r="IH22" s="28"/>
      <c r="II22" s="11"/>
      <c r="IL22" s="10"/>
      <c r="IM22" s="27"/>
      <c r="IO22" s="28"/>
      <c r="IR22" s="27"/>
      <c r="IT22" s="28"/>
      <c r="IU22" s="11"/>
      <c r="IX22" s="10"/>
      <c r="IY22" s="27"/>
      <c r="JA22" s="28"/>
      <c r="JD22" s="27"/>
      <c r="JF22" s="28"/>
      <c r="JG22" s="11"/>
      <c r="JJ22" s="10"/>
      <c r="JK22" s="27"/>
      <c r="JM22" s="28"/>
      <c r="JP22" s="27"/>
      <c r="JR22" s="28"/>
      <c r="JS22" s="11"/>
      <c r="JV22" s="10"/>
      <c r="JW22" s="27"/>
      <c r="JY22" s="28"/>
      <c r="KB22" s="27"/>
      <c r="KD22" s="28"/>
      <c r="KE22" s="11"/>
      <c r="KF22" s="11"/>
      <c r="KJ22" s="19"/>
      <c r="KK22" s="144"/>
      <c r="KL22" s="144"/>
      <c r="KM22" s="144"/>
      <c r="KN22" s="144"/>
      <c r="KO22" s="144"/>
      <c r="KP22" s="144"/>
      <c r="KQ22" s="21"/>
      <c r="KX22" s="22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4"/>
      <c r="LP22" s="11"/>
    </row>
    <row r="23" spans="2:328" ht="15" customHeight="1" x14ac:dyDescent="0.25">
      <c r="B23" s="7"/>
      <c r="C23" s="8"/>
      <c r="D23" s="8"/>
      <c r="E23" s="8"/>
      <c r="F23" s="8"/>
      <c r="G23" s="8"/>
      <c r="H23" s="8"/>
      <c r="I23" s="8"/>
      <c r="J23" s="9"/>
      <c r="O23" s="10"/>
      <c r="P23" s="10"/>
      <c r="V23" s="82"/>
      <c r="X23" s="28"/>
      <c r="Y23" s="11"/>
      <c r="AB23" s="10"/>
      <c r="AC23" s="82"/>
      <c r="AE23" s="28"/>
      <c r="AH23" s="82"/>
      <c r="AJ23" s="28"/>
      <c r="AK23" s="11"/>
      <c r="AN23" s="10"/>
      <c r="AO23" s="82"/>
      <c r="AQ23" s="28"/>
      <c r="AT23" s="82"/>
      <c r="AV23" s="28"/>
      <c r="AW23" s="11"/>
      <c r="AZ23" s="10"/>
      <c r="BA23" s="82"/>
      <c r="BC23" s="28"/>
      <c r="BF23" s="82"/>
      <c r="BH23" s="28"/>
      <c r="BI23" s="11"/>
      <c r="BL23" s="10"/>
      <c r="BM23" s="82"/>
      <c r="BO23" s="28"/>
      <c r="BR23" s="82"/>
      <c r="BT23" s="28"/>
      <c r="BU23" s="11"/>
      <c r="BX23" s="10"/>
      <c r="BY23" s="82"/>
      <c r="CA23" s="28"/>
      <c r="CD23" s="82"/>
      <c r="CF23" s="28"/>
      <c r="CG23" s="11"/>
      <c r="CJ23" s="10"/>
      <c r="CK23" s="82"/>
      <c r="CM23" s="28"/>
      <c r="CP23" s="82"/>
      <c r="CR23" s="28"/>
      <c r="CS23" s="11"/>
      <c r="CV23" s="10"/>
      <c r="DB23" s="82"/>
      <c r="DD23" s="28"/>
      <c r="DE23" s="11"/>
      <c r="DH23" s="11"/>
      <c r="DO23" s="10"/>
      <c r="DP23" s="10"/>
      <c r="DQ23" s="82"/>
      <c r="DS23" s="28"/>
      <c r="DV23" s="82"/>
      <c r="DX23" s="28"/>
      <c r="DY23" s="11"/>
      <c r="EB23" s="10"/>
      <c r="EC23" s="82"/>
      <c r="EE23" s="28"/>
      <c r="EH23" s="82"/>
      <c r="EJ23" s="28"/>
      <c r="EK23" s="11"/>
      <c r="EN23" s="10"/>
      <c r="EO23" s="82"/>
      <c r="EQ23" s="28"/>
      <c r="ET23" s="82"/>
      <c r="EV23" s="28"/>
      <c r="EW23" s="11"/>
      <c r="EZ23" s="10"/>
      <c r="FA23" s="82"/>
      <c r="FC23" s="28"/>
      <c r="FF23" s="82"/>
      <c r="FH23" s="28"/>
      <c r="FI23" s="11"/>
      <c r="FL23" s="10"/>
      <c r="FM23" s="82"/>
      <c r="FO23" s="28"/>
      <c r="FR23" s="82"/>
      <c r="FT23" s="28"/>
      <c r="FU23" s="11"/>
      <c r="FX23" s="10"/>
      <c r="FY23" s="82"/>
      <c r="GA23" s="28"/>
      <c r="GD23" s="82"/>
      <c r="GF23" s="28"/>
      <c r="GG23" s="11"/>
      <c r="GJ23" s="10"/>
      <c r="GK23" s="82"/>
      <c r="GM23" s="28"/>
      <c r="GP23" s="82"/>
      <c r="GR23" s="28"/>
      <c r="GS23" s="11"/>
      <c r="GT23" s="11"/>
      <c r="GX23" s="19"/>
      <c r="GY23" s="144"/>
      <c r="GZ23" s="144"/>
      <c r="HA23" s="144"/>
      <c r="HB23" s="144"/>
      <c r="HC23" s="144"/>
      <c r="HD23" s="144"/>
      <c r="HE23" s="21"/>
      <c r="HM23" s="10"/>
      <c r="HN23" s="10"/>
      <c r="HO23" s="82"/>
      <c r="HQ23" s="28"/>
      <c r="HT23" s="82"/>
      <c r="HV23" s="28"/>
      <c r="HW23" s="11"/>
      <c r="HZ23" s="10"/>
      <c r="IA23" s="82"/>
      <c r="IC23" s="28"/>
      <c r="IF23" s="82"/>
      <c r="IH23" s="28"/>
      <c r="II23" s="11"/>
      <c r="IL23" s="10"/>
      <c r="IM23" s="82"/>
      <c r="IO23" s="28"/>
      <c r="IR23" s="82"/>
      <c r="IT23" s="28"/>
      <c r="IU23" s="11"/>
      <c r="IX23" s="10"/>
      <c r="IY23" s="82"/>
      <c r="JA23" s="28"/>
      <c r="JD23" s="82"/>
      <c r="JF23" s="28"/>
      <c r="JG23" s="11"/>
      <c r="JJ23" s="10"/>
      <c r="JK23" s="82"/>
      <c r="JM23" s="28"/>
      <c r="JP23" s="82"/>
      <c r="JR23" s="28"/>
      <c r="JS23" s="11"/>
      <c r="JV23" s="10"/>
      <c r="JW23" s="82"/>
      <c r="JY23" s="28"/>
      <c r="KB23" s="82"/>
      <c r="KD23" s="28"/>
      <c r="KE23" s="11"/>
      <c r="KF23" s="11"/>
      <c r="KJ23" s="19"/>
      <c r="KK23" s="144"/>
      <c r="KL23" s="144"/>
      <c r="KM23" s="144"/>
      <c r="KN23" s="144"/>
      <c r="KO23" s="144"/>
      <c r="KP23" s="144"/>
      <c r="KQ23" s="21"/>
      <c r="KX23" s="22"/>
      <c r="KY23" s="23"/>
      <c r="KZ23" s="23"/>
      <c r="LA23" s="23"/>
      <c r="LB23" s="23"/>
      <c r="LC23" s="23"/>
      <c r="LD23" s="23"/>
      <c r="LE23" s="23"/>
      <c r="LF23" s="23"/>
      <c r="LG23" s="23"/>
      <c r="LH23" s="23"/>
      <c r="LI23" s="23"/>
      <c r="LJ23" s="23"/>
      <c r="LK23" s="23"/>
      <c r="LL23" s="24"/>
      <c r="LP23" s="11"/>
    </row>
    <row r="24" spans="2:328" ht="15" customHeight="1" x14ac:dyDescent="0.25">
      <c r="B24" s="7"/>
      <c r="C24" s="8"/>
      <c r="D24" s="8"/>
      <c r="E24" s="8"/>
      <c r="F24" s="8"/>
      <c r="G24" s="8"/>
      <c r="H24" s="8"/>
      <c r="I24" s="8"/>
      <c r="J24" s="9"/>
      <c r="O24" s="10"/>
      <c r="P24" s="10"/>
      <c r="V24" s="82"/>
      <c r="X24" s="28"/>
      <c r="Y24" s="11"/>
      <c r="AB24" s="10"/>
      <c r="AC24" s="82"/>
      <c r="AE24" s="28"/>
      <c r="AH24" s="82"/>
      <c r="AJ24" s="28"/>
      <c r="AK24" s="11"/>
      <c r="AN24" s="10"/>
      <c r="AO24" s="82"/>
      <c r="AQ24" s="28"/>
      <c r="AT24" s="82"/>
      <c r="AV24" s="28"/>
      <c r="AW24" s="11"/>
      <c r="AZ24" s="10"/>
      <c r="BA24" s="82"/>
      <c r="BC24" s="28"/>
      <c r="BF24" s="82"/>
      <c r="BH24" s="28"/>
      <c r="BI24" s="11"/>
      <c r="BL24" s="10"/>
      <c r="BM24" s="82"/>
      <c r="BO24" s="28"/>
      <c r="BR24" s="82"/>
      <c r="BT24" s="28"/>
      <c r="BU24" s="11"/>
      <c r="BX24" s="10"/>
      <c r="BY24" s="82"/>
      <c r="CA24" s="28"/>
      <c r="CD24" s="82"/>
      <c r="CF24" s="28"/>
      <c r="CG24" s="11"/>
      <c r="CJ24" s="10"/>
      <c r="CK24" s="82"/>
      <c r="CM24" s="28"/>
      <c r="CP24" s="82"/>
      <c r="CR24" s="28"/>
      <c r="CS24" s="11"/>
      <c r="CV24" s="10"/>
      <c r="DB24" s="82"/>
      <c r="DD24" s="28"/>
      <c r="DE24" s="11"/>
      <c r="DH24" s="11"/>
      <c r="DO24" s="10"/>
      <c r="DP24" s="10"/>
      <c r="DQ24" s="82"/>
      <c r="DS24" s="28"/>
      <c r="DV24" s="82"/>
      <c r="DX24" s="28"/>
      <c r="DY24" s="11"/>
      <c r="EB24" s="10"/>
      <c r="EC24" s="82"/>
      <c r="EE24" s="28"/>
      <c r="EH24" s="82"/>
      <c r="EJ24" s="28"/>
      <c r="EK24" s="11"/>
      <c r="EN24" s="10"/>
      <c r="EO24" s="82"/>
      <c r="EQ24" s="28"/>
      <c r="ET24" s="82"/>
      <c r="EV24" s="28"/>
      <c r="EW24" s="11"/>
      <c r="EZ24" s="10"/>
      <c r="FA24" s="82"/>
      <c r="FC24" s="28"/>
      <c r="FF24" s="82"/>
      <c r="FH24" s="28"/>
      <c r="FI24" s="11"/>
      <c r="FL24" s="10"/>
      <c r="FM24" s="82"/>
      <c r="FO24" s="28"/>
      <c r="FR24" s="82"/>
      <c r="FT24" s="28"/>
      <c r="FU24" s="11"/>
      <c r="FX24" s="10"/>
      <c r="FY24" s="82"/>
      <c r="GA24" s="28"/>
      <c r="GD24" s="82"/>
      <c r="GF24" s="28"/>
      <c r="GG24" s="11"/>
      <c r="GJ24" s="10"/>
      <c r="GK24" s="82"/>
      <c r="GM24" s="28"/>
      <c r="GP24" s="82"/>
      <c r="GR24" s="28"/>
      <c r="GS24" s="11"/>
      <c r="GT24" s="11"/>
      <c r="GX24" s="19"/>
      <c r="GY24" s="144"/>
      <c r="GZ24" s="144"/>
      <c r="HA24" s="144"/>
      <c r="HB24" s="144"/>
      <c r="HC24" s="144"/>
      <c r="HD24" s="144"/>
      <c r="HE24" s="21"/>
      <c r="HM24" s="10"/>
      <c r="HN24" s="10"/>
      <c r="HO24" s="82"/>
      <c r="HQ24" s="28"/>
      <c r="HT24" s="82"/>
      <c r="HV24" s="28"/>
      <c r="HW24" s="11"/>
      <c r="HZ24" s="10"/>
      <c r="IA24" s="82"/>
      <c r="IC24" s="28"/>
      <c r="IF24" s="82"/>
      <c r="IH24" s="28"/>
      <c r="II24" s="11"/>
      <c r="IL24" s="10"/>
      <c r="IM24" s="82"/>
      <c r="IO24" s="28"/>
      <c r="IR24" s="82"/>
      <c r="IT24" s="28"/>
      <c r="IU24" s="11"/>
      <c r="IX24" s="10"/>
      <c r="IY24" s="82"/>
      <c r="JA24" s="28"/>
      <c r="JD24" s="82"/>
      <c r="JF24" s="28"/>
      <c r="JG24" s="11"/>
      <c r="JJ24" s="10"/>
      <c r="JK24" s="82"/>
      <c r="JM24" s="28"/>
      <c r="JP24" s="82"/>
      <c r="JR24" s="28"/>
      <c r="JS24" s="11"/>
      <c r="JV24" s="10"/>
      <c r="JW24" s="82"/>
      <c r="JY24" s="28"/>
      <c r="KB24" s="82"/>
      <c r="KD24" s="28"/>
      <c r="KE24" s="11"/>
      <c r="KF24" s="11"/>
      <c r="KJ24" s="19"/>
      <c r="KK24" s="144"/>
      <c r="KL24" s="144"/>
      <c r="KM24" s="144"/>
      <c r="KN24" s="144"/>
      <c r="KO24" s="144"/>
      <c r="KP24" s="144"/>
      <c r="KQ24" s="21"/>
      <c r="KX24" s="22"/>
      <c r="KY24" s="23"/>
      <c r="KZ24" s="23"/>
      <c r="LA24" s="23"/>
      <c r="LB24" s="23"/>
      <c r="LC24" s="23"/>
      <c r="LD24" s="23"/>
      <c r="LE24" s="23"/>
      <c r="LF24" s="23"/>
      <c r="LG24" s="23"/>
      <c r="LH24" s="23"/>
      <c r="LI24" s="23"/>
      <c r="LJ24" s="23"/>
      <c r="LK24" s="23"/>
      <c r="LL24" s="24"/>
      <c r="LP24" s="11"/>
    </row>
    <row r="25" spans="2:328" x14ac:dyDescent="0.25">
      <c r="B25" s="7"/>
      <c r="C25" s="143" t="s">
        <v>6</v>
      </c>
      <c r="D25" s="143"/>
      <c r="E25" s="143"/>
      <c r="F25" s="143"/>
      <c r="G25" s="143"/>
      <c r="H25" s="143"/>
      <c r="I25" s="143"/>
      <c r="J25" s="9"/>
      <c r="O25" s="10"/>
      <c r="P25" s="10"/>
      <c r="V25" s="82"/>
      <c r="X25" s="28"/>
      <c r="Y25" s="11"/>
      <c r="AB25" s="10"/>
      <c r="AC25" s="82"/>
      <c r="AE25" s="28"/>
      <c r="AH25" s="82"/>
      <c r="AJ25" s="28"/>
      <c r="AK25" s="11"/>
      <c r="AN25" s="10"/>
      <c r="AO25" s="82"/>
      <c r="AQ25" s="28"/>
      <c r="AT25" s="82"/>
      <c r="AV25" s="28"/>
      <c r="AW25" s="11"/>
      <c r="AZ25" s="10"/>
      <c r="BA25" s="82"/>
      <c r="BC25" s="28"/>
      <c r="BF25" s="82"/>
      <c r="BH25" s="28"/>
      <c r="BI25" s="11"/>
      <c r="BL25" s="10"/>
      <c r="BM25" s="82"/>
      <c r="BO25" s="28"/>
      <c r="BR25" s="82"/>
      <c r="BT25" s="28"/>
      <c r="BU25" s="11"/>
      <c r="BX25" s="10"/>
      <c r="BY25" s="82"/>
      <c r="CA25" s="28"/>
      <c r="CD25" s="82"/>
      <c r="CF25" s="28"/>
      <c r="CG25" s="11"/>
      <c r="CJ25" s="10"/>
      <c r="CK25" s="82"/>
      <c r="CM25" s="28"/>
      <c r="CP25" s="82"/>
      <c r="CR25" s="28"/>
      <c r="CS25" s="11"/>
      <c r="CV25" s="10"/>
      <c r="DB25" s="82"/>
      <c r="DD25" s="28"/>
      <c r="DE25" s="11"/>
      <c r="DH25" s="11"/>
      <c r="DO25" s="10"/>
      <c r="DP25" s="10"/>
      <c r="DQ25" s="82"/>
      <c r="DS25" s="28"/>
      <c r="DV25" s="82"/>
      <c r="DX25" s="28"/>
      <c r="DY25" s="11"/>
      <c r="EB25" s="10"/>
      <c r="EC25" s="82"/>
      <c r="EE25" s="28"/>
      <c r="EH25" s="82"/>
      <c r="EJ25" s="28"/>
      <c r="EK25" s="11"/>
      <c r="EN25" s="10"/>
      <c r="EO25" s="82"/>
      <c r="EQ25" s="28"/>
      <c r="ET25" s="82"/>
      <c r="EV25" s="28"/>
      <c r="EW25" s="11"/>
      <c r="EZ25" s="10"/>
      <c r="FA25" s="82"/>
      <c r="FC25" s="28"/>
      <c r="FF25" s="82"/>
      <c r="FH25" s="28"/>
      <c r="FI25" s="11"/>
      <c r="FL25" s="10"/>
      <c r="FM25" s="82"/>
      <c r="FO25" s="28"/>
      <c r="FR25" s="82"/>
      <c r="FT25" s="28"/>
      <c r="FU25" s="11"/>
      <c r="FX25" s="10"/>
      <c r="FY25" s="82"/>
      <c r="GA25" s="28"/>
      <c r="GD25" s="82"/>
      <c r="GF25" s="28"/>
      <c r="GG25" s="11"/>
      <c r="GJ25" s="10"/>
      <c r="GK25" s="82"/>
      <c r="GM25" s="28"/>
      <c r="GP25" s="82"/>
      <c r="GR25" s="28"/>
      <c r="GS25" s="11"/>
      <c r="GT25" s="11"/>
      <c r="GX25" s="19"/>
      <c r="GY25" s="20"/>
      <c r="GZ25" s="20"/>
      <c r="HA25" s="20"/>
      <c r="HB25" s="20"/>
      <c r="HC25" s="20"/>
      <c r="HD25" s="20"/>
      <c r="HE25" s="21"/>
      <c r="HM25" s="10"/>
      <c r="HN25" s="10"/>
      <c r="HO25" s="82"/>
      <c r="HQ25" s="28"/>
      <c r="HT25" s="82"/>
      <c r="HV25" s="28"/>
      <c r="HW25" s="11"/>
      <c r="HZ25" s="10"/>
      <c r="IA25" s="82"/>
      <c r="IC25" s="28"/>
      <c r="IF25" s="82"/>
      <c r="IH25" s="28"/>
      <c r="II25" s="11"/>
      <c r="IL25" s="10"/>
      <c r="IM25" s="82"/>
      <c r="IO25" s="28"/>
      <c r="IR25" s="82"/>
      <c r="IT25" s="28"/>
      <c r="IU25" s="11"/>
      <c r="IX25" s="10"/>
      <c r="IY25" s="82"/>
      <c r="JA25" s="28"/>
      <c r="JD25" s="82"/>
      <c r="JF25" s="28"/>
      <c r="JG25" s="11"/>
      <c r="JJ25" s="10"/>
      <c r="JK25" s="82"/>
      <c r="JM25" s="28"/>
      <c r="JP25" s="82"/>
      <c r="JR25" s="28"/>
      <c r="JS25" s="11"/>
      <c r="JV25" s="10"/>
      <c r="JW25" s="82"/>
      <c r="JY25" s="28"/>
      <c r="KB25" s="82"/>
      <c r="KD25" s="28"/>
      <c r="KE25" s="11"/>
      <c r="KF25" s="11"/>
      <c r="KJ25" s="19"/>
      <c r="KK25" s="20"/>
      <c r="KL25" s="20"/>
      <c r="KM25" s="20"/>
      <c r="KN25" s="20"/>
      <c r="KO25" s="20"/>
      <c r="KP25" s="20"/>
      <c r="KQ25" s="21"/>
      <c r="KX25" s="22"/>
      <c r="KY25" s="23"/>
      <c r="KZ25" s="23"/>
      <c r="LA25" s="23"/>
      <c r="LB25" s="23"/>
      <c r="LC25" s="23"/>
      <c r="LD25" s="23"/>
      <c r="LE25" s="23"/>
      <c r="LF25" s="23"/>
      <c r="LG25" s="23"/>
      <c r="LH25" s="23"/>
      <c r="LI25" s="23"/>
      <c r="LJ25" s="23"/>
      <c r="LK25" s="23"/>
      <c r="LL25" s="24"/>
      <c r="LP25" s="11"/>
    </row>
    <row r="26" spans="2:328" x14ac:dyDescent="0.25">
      <c r="B26" s="7"/>
      <c r="C26" s="143"/>
      <c r="D26" s="143"/>
      <c r="E26" s="143"/>
      <c r="F26" s="143"/>
      <c r="G26" s="143"/>
      <c r="H26" s="143"/>
      <c r="I26" s="143"/>
      <c r="J26" s="9"/>
      <c r="O26" s="10"/>
      <c r="P26" s="30"/>
      <c r="Q26" s="12"/>
      <c r="R26" s="12"/>
      <c r="S26" s="12"/>
      <c r="T26" s="12"/>
      <c r="U26" s="12"/>
      <c r="V26" s="12"/>
      <c r="W26" s="12"/>
      <c r="X26" s="12"/>
      <c r="Y26" s="31"/>
      <c r="AB26" s="30"/>
      <c r="AC26" s="12"/>
      <c r="AD26" s="12"/>
      <c r="AE26" s="12"/>
      <c r="AF26" s="12"/>
      <c r="AG26" s="12"/>
      <c r="AH26" s="12"/>
      <c r="AI26" s="12"/>
      <c r="AJ26" s="12"/>
      <c r="AK26" s="31"/>
      <c r="AN26" s="30"/>
      <c r="AO26" s="12"/>
      <c r="AP26" s="12"/>
      <c r="AQ26" s="12"/>
      <c r="AR26" s="12"/>
      <c r="AS26" s="12"/>
      <c r="AT26" s="12"/>
      <c r="AU26" s="12"/>
      <c r="AV26" s="12"/>
      <c r="AW26" s="31"/>
      <c r="AZ26" s="30"/>
      <c r="BA26" s="12"/>
      <c r="BB26" s="12"/>
      <c r="BC26" s="12"/>
      <c r="BD26" s="12"/>
      <c r="BE26" s="12"/>
      <c r="BF26" s="12"/>
      <c r="BG26" s="12"/>
      <c r="BH26" s="12"/>
      <c r="BI26" s="31"/>
      <c r="BL26" s="30"/>
      <c r="BM26" s="12"/>
      <c r="BN26" s="12"/>
      <c r="BO26" s="12"/>
      <c r="BP26" s="12"/>
      <c r="BQ26" s="12"/>
      <c r="BR26" s="12"/>
      <c r="BS26" s="12"/>
      <c r="BT26" s="12"/>
      <c r="BU26" s="31"/>
      <c r="BX26" s="30"/>
      <c r="BY26" s="12"/>
      <c r="BZ26" s="12"/>
      <c r="CA26" s="12"/>
      <c r="CB26" s="12"/>
      <c r="CC26" s="12"/>
      <c r="CD26" s="12"/>
      <c r="CE26" s="12"/>
      <c r="CF26" s="12"/>
      <c r="CG26" s="31"/>
      <c r="CJ26" s="30"/>
      <c r="CK26" s="12"/>
      <c r="CL26" s="12"/>
      <c r="CM26" s="12"/>
      <c r="CN26" s="12"/>
      <c r="CO26" s="12"/>
      <c r="CP26" s="12"/>
      <c r="CQ26" s="12"/>
      <c r="CR26" s="12"/>
      <c r="CS26" s="31"/>
      <c r="CV26" s="30"/>
      <c r="CW26" s="12"/>
      <c r="CX26" s="12"/>
      <c r="CY26" s="12"/>
      <c r="CZ26" s="12"/>
      <c r="DA26" s="12"/>
      <c r="DB26" s="12"/>
      <c r="DC26" s="12"/>
      <c r="DD26" s="12"/>
      <c r="DE26" s="31"/>
      <c r="DH26" s="11"/>
      <c r="DO26" s="10"/>
      <c r="DP26" s="30"/>
      <c r="DQ26" s="12"/>
      <c r="DR26" s="12"/>
      <c r="DS26" s="12"/>
      <c r="DT26" s="12"/>
      <c r="DU26" s="12"/>
      <c r="DV26" s="12"/>
      <c r="DW26" s="12"/>
      <c r="DX26" s="12"/>
      <c r="DY26" s="31"/>
      <c r="EB26" s="30"/>
      <c r="EC26" s="12"/>
      <c r="ED26" s="12"/>
      <c r="EE26" s="12"/>
      <c r="EF26" s="12"/>
      <c r="EG26" s="12"/>
      <c r="EH26" s="12"/>
      <c r="EI26" s="12"/>
      <c r="EJ26" s="12"/>
      <c r="EK26" s="31"/>
      <c r="EN26" s="30"/>
      <c r="EO26" s="12"/>
      <c r="EP26" s="12"/>
      <c r="EQ26" s="12"/>
      <c r="ER26" s="12"/>
      <c r="ES26" s="12"/>
      <c r="ET26" s="12"/>
      <c r="EU26" s="12"/>
      <c r="EV26" s="12"/>
      <c r="EW26" s="31"/>
      <c r="EZ26" s="30"/>
      <c r="FA26" s="12"/>
      <c r="FB26" s="12"/>
      <c r="FC26" s="12"/>
      <c r="FD26" s="12"/>
      <c r="FE26" s="12"/>
      <c r="FF26" s="12"/>
      <c r="FG26" s="12"/>
      <c r="FH26" s="12"/>
      <c r="FI26" s="31"/>
      <c r="FL26" s="30"/>
      <c r="FM26" s="12"/>
      <c r="FN26" s="12"/>
      <c r="FO26" s="12"/>
      <c r="FP26" s="12"/>
      <c r="FQ26" s="12"/>
      <c r="FR26" s="12"/>
      <c r="FS26" s="12"/>
      <c r="FT26" s="12"/>
      <c r="FU26" s="31"/>
      <c r="FX26" s="30"/>
      <c r="FY26" s="12"/>
      <c r="FZ26" s="12"/>
      <c r="GA26" s="12"/>
      <c r="GB26" s="12"/>
      <c r="GC26" s="12"/>
      <c r="GD26" s="12"/>
      <c r="GE26" s="12"/>
      <c r="GF26" s="12"/>
      <c r="GG26" s="31"/>
      <c r="GJ26" s="30"/>
      <c r="GK26" s="12"/>
      <c r="GL26" s="12"/>
      <c r="GM26" s="12"/>
      <c r="GN26" s="12"/>
      <c r="GO26" s="12"/>
      <c r="GP26" s="12"/>
      <c r="GQ26" s="12"/>
      <c r="GR26" s="12"/>
      <c r="GS26" s="31"/>
      <c r="GT26" s="11"/>
      <c r="GX26" s="19"/>
      <c r="GY26" s="20"/>
      <c r="GZ26" s="20"/>
      <c r="HA26" s="20"/>
      <c r="HB26" s="20"/>
      <c r="HC26" s="20"/>
      <c r="HD26" s="20"/>
      <c r="HE26" s="21"/>
      <c r="HM26" s="10"/>
      <c r="HN26" s="30"/>
      <c r="HO26" s="12"/>
      <c r="HP26" s="12"/>
      <c r="HQ26" s="12"/>
      <c r="HR26" s="12"/>
      <c r="HS26" s="12"/>
      <c r="HT26" s="12"/>
      <c r="HU26" s="12"/>
      <c r="HV26" s="12"/>
      <c r="HW26" s="31"/>
      <c r="HZ26" s="30"/>
      <c r="IA26" s="12"/>
      <c r="IB26" s="12"/>
      <c r="IC26" s="12"/>
      <c r="ID26" s="12"/>
      <c r="IE26" s="12"/>
      <c r="IF26" s="12"/>
      <c r="IG26" s="12"/>
      <c r="IH26" s="12"/>
      <c r="II26" s="31"/>
      <c r="IL26" s="30"/>
      <c r="IM26" s="12"/>
      <c r="IN26" s="12"/>
      <c r="IO26" s="12"/>
      <c r="IP26" s="12"/>
      <c r="IQ26" s="12"/>
      <c r="IR26" s="12"/>
      <c r="IS26" s="12"/>
      <c r="IT26" s="12"/>
      <c r="IU26" s="31"/>
      <c r="IX26" s="30"/>
      <c r="IY26" s="12"/>
      <c r="IZ26" s="12"/>
      <c r="JA26" s="12"/>
      <c r="JB26" s="12"/>
      <c r="JC26" s="12"/>
      <c r="JD26" s="12"/>
      <c r="JE26" s="12"/>
      <c r="JF26" s="12"/>
      <c r="JG26" s="31"/>
      <c r="JJ26" s="30"/>
      <c r="JK26" s="12"/>
      <c r="JL26" s="12"/>
      <c r="JM26" s="12"/>
      <c r="JN26" s="12"/>
      <c r="JO26" s="12"/>
      <c r="JP26" s="12"/>
      <c r="JQ26" s="12"/>
      <c r="JR26" s="12"/>
      <c r="JS26" s="31"/>
      <c r="JV26" s="30"/>
      <c r="JW26" s="12"/>
      <c r="JX26" s="12"/>
      <c r="JY26" s="12"/>
      <c r="JZ26" s="12"/>
      <c r="KA26" s="12"/>
      <c r="KB26" s="12"/>
      <c r="KC26" s="12"/>
      <c r="KD26" s="12"/>
      <c r="KE26" s="31"/>
      <c r="KF26" s="11"/>
      <c r="KJ26" s="32"/>
      <c r="KK26" s="33"/>
      <c r="KL26" s="33"/>
      <c r="KM26" s="33"/>
      <c r="KN26" s="33"/>
      <c r="KO26" s="33"/>
      <c r="KP26" s="33"/>
      <c r="KQ26" s="34"/>
      <c r="KX26" s="22"/>
      <c r="KY26" s="23"/>
      <c r="KZ26" s="23"/>
      <c r="LA26" s="23"/>
      <c r="LB26" s="23"/>
      <c r="LC26" s="23"/>
      <c r="LD26" s="23"/>
      <c r="LE26" s="23"/>
      <c r="LF26" s="23"/>
      <c r="LG26" s="23"/>
      <c r="LH26" s="23"/>
      <c r="LI26" s="23"/>
      <c r="LJ26" s="23"/>
      <c r="LK26" s="23"/>
      <c r="LL26" s="24"/>
      <c r="LP26" s="11"/>
    </row>
    <row r="27" spans="2:328" x14ac:dyDescent="0.25">
      <c r="B27" s="7"/>
      <c r="C27" s="143"/>
      <c r="D27" s="143"/>
      <c r="E27" s="143"/>
      <c r="F27" s="143"/>
      <c r="G27" s="143"/>
      <c r="H27" s="143"/>
      <c r="I27" s="143"/>
      <c r="J27" s="9"/>
      <c r="O27" s="10"/>
      <c r="DE27" s="5"/>
      <c r="DG27" s="33"/>
      <c r="DH27" s="11"/>
      <c r="DO27" s="10"/>
      <c r="GT27" s="11"/>
      <c r="GX27" s="19"/>
      <c r="GY27" s="20"/>
      <c r="GZ27" s="20"/>
      <c r="HA27" s="20"/>
      <c r="HB27" s="20"/>
      <c r="HC27" s="20"/>
      <c r="HD27" s="20"/>
      <c r="HE27" s="21"/>
      <c r="HM27" s="10"/>
      <c r="KF27" s="11"/>
      <c r="KJ27" s="32"/>
      <c r="KK27" s="33"/>
      <c r="KL27" s="33"/>
      <c r="KM27" s="33"/>
      <c r="KN27" s="33"/>
      <c r="KO27" s="33"/>
      <c r="KP27" s="33"/>
      <c r="KQ27" s="34"/>
      <c r="KX27" s="22"/>
      <c r="KY27" s="23"/>
      <c r="KZ27" s="23"/>
      <c r="LA27" s="23"/>
      <c r="LB27" s="23"/>
      <c r="LC27" s="23"/>
      <c r="LD27" s="23"/>
      <c r="LE27" s="23"/>
      <c r="LF27" s="23"/>
      <c r="LG27" s="23"/>
      <c r="LH27" s="23"/>
      <c r="LI27" s="23"/>
      <c r="LJ27" s="23"/>
      <c r="LK27" s="23"/>
      <c r="LL27" s="24"/>
      <c r="LP27" s="11"/>
    </row>
    <row r="28" spans="2:328" x14ac:dyDescent="0.25">
      <c r="B28" s="7"/>
      <c r="C28" s="143"/>
      <c r="D28" s="143"/>
      <c r="E28" s="143"/>
      <c r="F28" s="143"/>
      <c r="G28" s="143"/>
      <c r="H28" s="143"/>
      <c r="I28" s="143"/>
      <c r="J28" s="9"/>
      <c r="O28" s="10"/>
      <c r="BD28" t="s">
        <v>7</v>
      </c>
      <c r="DH28" s="11"/>
      <c r="DO28" s="10"/>
      <c r="FQ28" t="s">
        <v>8</v>
      </c>
      <c r="GT28" s="11"/>
      <c r="GX28" s="19"/>
      <c r="GY28" s="20"/>
      <c r="GZ28" s="20"/>
      <c r="HA28" s="20"/>
      <c r="HB28" s="20"/>
      <c r="HC28" s="20"/>
      <c r="HD28" s="20"/>
      <c r="HE28" s="21"/>
      <c r="HM28" s="10"/>
      <c r="IW28" t="s">
        <v>9</v>
      </c>
      <c r="KF28" s="11"/>
      <c r="KJ28" s="32"/>
      <c r="KK28" s="33"/>
      <c r="KL28" s="33" t="s">
        <v>10</v>
      </c>
      <c r="KM28" s="33"/>
      <c r="KN28" s="33"/>
      <c r="KO28" s="33"/>
      <c r="KP28" s="33"/>
      <c r="KQ28" s="34"/>
      <c r="KX28" s="22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4"/>
      <c r="LP28" s="11"/>
    </row>
    <row r="29" spans="2:328" x14ac:dyDescent="0.25">
      <c r="B29" s="7"/>
      <c r="C29" s="143"/>
      <c r="D29" s="143"/>
      <c r="E29" s="143"/>
      <c r="F29" s="143"/>
      <c r="G29" s="143"/>
      <c r="H29" s="143"/>
      <c r="I29" s="143"/>
      <c r="J29" s="9"/>
      <c r="O29" s="10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31"/>
      <c r="DO29" s="30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31"/>
      <c r="GX29" s="35"/>
      <c r="GY29" s="36"/>
      <c r="GZ29" s="36"/>
      <c r="HA29" s="36"/>
      <c r="HB29" s="36"/>
      <c r="HC29" s="36"/>
      <c r="HD29" s="36"/>
      <c r="HE29" s="37"/>
      <c r="HM29" s="30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31"/>
      <c r="KJ29" s="38"/>
      <c r="KK29" s="39"/>
      <c r="KL29" s="39"/>
      <c r="KM29" s="39"/>
      <c r="KN29" s="39"/>
      <c r="KO29" s="39"/>
      <c r="KP29" s="39"/>
      <c r="KQ29" s="40"/>
      <c r="KX29" s="41"/>
      <c r="KY29" s="42"/>
      <c r="KZ29" s="42"/>
      <c r="LA29" s="42"/>
      <c r="LB29" s="42"/>
      <c r="LC29" s="42"/>
      <c r="LD29" s="42"/>
      <c r="LE29" s="42"/>
      <c r="LF29" s="42"/>
      <c r="LG29" s="42"/>
      <c r="LH29" s="42"/>
      <c r="LI29" s="42"/>
      <c r="LJ29" s="42"/>
      <c r="LK29" s="42"/>
      <c r="LL29" s="43"/>
      <c r="LP29" s="11"/>
    </row>
    <row r="30" spans="2:328" x14ac:dyDescent="0.25">
      <c r="B30" s="7"/>
      <c r="C30" s="143"/>
      <c r="D30" s="143"/>
      <c r="E30" s="143"/>
      <c r="F30" s="143"/>
      <c r="G30" s="143"/>
      <c r="H30" s="143"/>
      <c r="I30" s="143"/>
      <c r="J30" s="9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LP30" s="11"/>
    </row>
    <row r="31" spans="2:328" x14ac:dyDescent="0.25">
      <c r="B31" s="7"/>
      <c r="C31" s="143"/>
      <c r="D31" s="143"/>
      <c r="E31" s="143"/>
      <c r="F31" s="143"/>
      <c r="G31" s="143"/>
      <c r="H31" s="143"/>
      <c r="I31" s="143"/>
      <c r="J31" s="9"/>
      <c r="LP31" s="11"/>
    </row>
    <row r="32" spans="2:328" x14ac:dyDescent="0.25">
      <c r="B32" s="7"/>
      <c r="C32" s="143"/>
      <c r="D32" s="143"/>
      <c r="E32" s="143"/>
      <c r="F32" s="143"/>
      <c r="G32" s="143"/>
      <c r="H32" s="143"/>
      <c r="I32" s="143"/>
      <c r="J32" s="9"/>
      <c r="LP32" s="11"/>
    </row>
    <row r="33" spans="2:328" x14ac:dyDescent="0.25">
      <c r="B33" s="7"/>
      <c r="C33" s="143"/>
      <c r="D33" s="143"/>
      <c r="E33" s="143"/>
      <c r="F33" s="143"/>
      <c r="G33" s="143"/>
      <c r="H33" s="143"/>
      <c r="I33" s="143"/>
      <c r="J33" s="9"/>
      <c r="LP33" s="11"/>
    </row>
    <row r="34" spans="2:328" x14ac:dyDescent="0.25">
      <c r="B34" s="7"/>
      <c r="C34" s="143"/>
      <c r="D34" s="143"/>
      <c r="E34" s="143"/>
      <c r="F34" s="143"/>
      <c r="G34" s="143"/>
      <c r="H34" s="143"/>
      <c r="I34" s="143"/>
      <c r="J34" s="9"/>
      <c r="LP34" s="11"/>
    </row>
    <row r="35" spans="2:328" ht="15" customHeight="1" x14ac:dyDescent="0.25">
      <c r="B35" s="7"/>
      <c r="C35" s="143"/>
      <c r="D35" s="143"/>
      <c r="E35" s="143"/>
      <c r="F35" s="143"/>
      <c r="G35" s="143"/>
      <c r="H35" s="143"/>
      <c r="I35" s="143"/>
      <c r="J35" s="9"/>
      <c r="LP35" s="11"/>
    </row>
    <row r="36" spans="2:328" ht="15" customHeight="1" x14ac:dyDescent="0.25">
      <c r="B36" s="7"/>
      <c r="C36" s="143"/>
      <c r="D36" s="143"/>
      <c r="E36" s="143"/>
      <c r="F36" s="143"/>
      <c r="G36" s="143"/>
      <c r="H36" s="143"/>
      <c r="I36" s="143"/>
      <c r="J36" s="9"/>
      <c r="LP36" s="11"/>
    </row>
    <row r="37" spans="2:328" ht="15" customHeight="1" x14ac:dyDescent="0.25">
      <c r="B37" s="7"/>
      <c r="C37" s="143"/>
      <c r="D37" s="143"/>
      <c r="E37" s="143"/>
      <c r="F37" s="143"/>
      <c r="G37" s="143"/>
      <c r="H37" s="143"/>
      <c r="I37" s="143"/>
      <c r="J37" s="9"/>
      <c r="O37" s="4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6"/>
      <c r="DA37" s="13"/>
      <c r="DB37" s="14"/>
      <c r="DC37" s="14"/>
      <c r="DD37" s="14"/>
      <c r="DE37" s="14"/>
      <c r="DF37" s="14"/>
      <c r="DG37" s="14"/>
      <c r="DH37" s="15"/>
      <c r="DO37" s="4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6"/>
      <c r="GX37" s="13"/>
      <c r="GY37" s="14"/>
      <c r="GZ37" s="14"/>
      <c r="HA37" s="14"/>
      <c r="HB37" s="14"/>
      <c r="HC37" s="14"/>
      <c r="HD37" s="14"/>
      <c r="HE37" s="15"/>
      <c r="HM37" s="4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6"/>
      <c r="KX37" s="16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8"/>
      <c r="LP37" s="11"/>
    </row>
    <row r="38" spans="2:328" ht="15" customHeight="1" x14ac:dyDescent="0.25">
      <c r="B38" s="7"/>
      <c r="C38" s="8"/>
      <c r="D38" s="8"/>
      <c r="E38" s="8"/>
      <c r="F38" s="8"/>
      <c r="G38" s="8"/>
      <c r="H38" s="8"/>
      <c r="I38" s="8"/>
      <c r="J38" s="9"/>
      <c r="O38" s="10"/>
      <c r="CZ38" s="11"/>
      <c r="DA38" s="19"/>
      <c r="DB38" s="20"/>
      <c r="DC38" s="20"/>
      <c r="DD38" s="20"/>
      <c r="DE38" s="20"/>
      <c r="DF38" s="20"/>
      <c r="DG38" s="20"/>
      <c r="DH38" s="21"/>
      <c r="DO38" s="10"/>
      <c r="GT38" s="11"/>
      <c r="GX38" s="19"/>
      <c r="GY38" s="20"/>
      <c r="GZ38" s="20"/>
      <c r="HA38" s="20"/>
      <c r="HB38" s="20"/>
      <c r="HC38" s="20"/>
      <c r="HD38" s="20"/>
      <c r="HE38" s="21"/>
      <c r="HM38" s="10"/>
      <c r="HN38" s="4"/>
      <c r="HO38" s="5"/>
      <c r="HP38" s="5"/>
      <c r="HQ38" s="5"/>
      <c r="HR38" s="5"/>
      <c r="HS38" s="5"/>
      <c r="HT38" s="5"/>
      <c r="HU38" s="5"/>
      <c r="HV38" s="5"/>
      <c r="HW38" s="6"/>
      <c r="HZ38" s="4"/>
      <c r="IA38" s="5"/>
      <c r="IB38" s="5"/>
      <c r="IC38" s="5"/>
      <c r="ID38" s="5"/>
      <c r="IE38" s="5"/>
      <c r="IF38" s="5"/>
      <c r="IG38" s="5"/>
      <c r="IH38" s="5"/>
      <c r="II38" s="6"/>
      <c r="IL38" s="4"/>
      <c r="IM38" s="5"/>
      <c r="IN38" s="5"/>
      <c r="IO38" s="5"/>
      <c r="IP38" s="5"/>
      <c r="IQ38" s="5"/>
      <c r="IR38" s="5"/>
      <c r="IS38" s="5"/>
      <c r="IT38" s="5"/>
      <c r="IU38" s="6"/>
      <c r="IX38" s="4"/>
      <c r="IY38" s="5"/>
      <c r="IZ38" s="5"/>
      <c r="JA38" s="5"/>
      <c r="JB38" s="5"/>
      <c r="JC38" s="5"/>
      <c r="JD38" s="5"/>
      <c r="JE38" s="5"/>
      <c r="JF38" s="5"/>
      <c r="JG38" s="6"/>
      <c r="JJ38" s="4"/>
      <c r="JK38" s="5"/>
      <c r="JL38" s="5"/>
      <c r="JM38" s="5"/>
      <c r="JN38" s="5"/>
      <c r="JO38" s="5"/>
      <c r="JP38" s="5"/>
      <c r="JQ38" s="5"/>
      <c r="JR38" s="5"/>
      <c r="JS38" s="6"/>
      <c r="JV38" s="4"/>
      <c r="JW38" s="5"/>
      <c r="JX38" s="5"/>
      <c r="JY38" s="5"/>
      <c r="JZ38" s="5"/>
      <c r="KA38" s="5"/>
      <c r="KB38" s="5"/>
      <c r="KC38" s="5"/>
      <c r="KD38" s="5"/>
      <c r="KE38" s="6"/>
      <c r="KH38" s="4"/>
      <c r="KI38" s="5"/>
      <c r="KJ38" s="5"/>
      <c r="KK38" s="5"/>
      <c r="KL38" s="5"/>
      <c r="KM38" s="5"/>
      <c r="KN38" s="5"/>
      <c r="KO38" s="5"/>
      <c r="KP38" s="5"/>
      <c r="KQ38" s="6"/>
      <c r="KX38" s="22"/>
      <c r="KY38" s="23"/>
      <c r="KZ38" s="23"/>
      <c r="LA38" s="23"/>
      <c r="LB38" s="23"/>
      <c r="LC38" s="23"/>
      <c r="LD38" s="23"/>
      <c r="LE38" s="23"/>
      <c r="LF38" s="23"/>
      <c r="LG38" s="23"/>
      <c r="LH38" s="23"/>
      <c r="LI38" s="23"/>
      <c r="LJ38" s="23"/>
      <c r="LK38" s="23"/>
      <c r="LL38" s="24"/>
      <c r="LP38" s="11"/>
    </row>
    <row r="39" spans="2:328" ht="15" customHeight="1" x14ac:dyDescent="0.25">
      <c r="B39" s="7"/>
      <c r="C39" s="8"/>
      <c r="D39" s="8"/>
      <c r="E39" s="8"/>
      <c r="F39" s="8"/>
      <c r="G39" s="8"/>
      <c r="H39" s="8"/>
      <c r="I39" s="8"/>
      <c r="J39" s="9"/>
      <c r="O39" s="10"/>
      <c r="P39" s="4"/>
      <c r="Q39" s="5"/>
      <c r="R39" s="5"/>
      <c r="S39" s="5"/>
      <c r="T39" s="5"/>
      <c r="U39" s="5"/>
      <c r="V39" s="5"/>
      <c r="W39" s="5"/>
      <c r="X39" s="6"/>
      <c r="AA39" s="4"/>
      <c r="AB39" s="5"/>
      <c r="AC39" s="5"/>
      <c r="AD39" s="5"/>
      <c r="AE39" s="5"/>
      <c r="AF39" s="5"/>
      <c r="AG39" s="5"/>
      <c r="AH39" s="5"/>
      <c r="AI39" s="6"/>
      <c r="AL39" s="4"/>
      <c r="AM39" s="5"/>
      <c r="AN39" s="5"/>
      <c r="AO39" s="5"/>
      <c r="AP39" s="5"/>
      <c r="AQ39" s="5"/>
      <c r="AR39" s="5"/>
      <c r="AS39" s="5"/>
      <c r="AT39" s="6"/>
      <c r="AW39" s="4"/>
      <c r="AX39" s="5"/>
      <c r="AY39" s="5"/>
      <c r="AZ39" s="5"/>
      <c r="BA39" s="5"/>
      <c r="BB39" s="5"/>
      <c r="BC39" s="5"/>
      <c r="BD39" s="5"/>
      <c r="BE39" s="6"/>
      <c r="BH39" s="4"/>
      <c r="BI39" s="5"/>
      <c r="BJ39" s="5"/>
      <c r="BK39" s="5"/>
      <c r="BL39" s="5"/>
      <c r="BM39" s="5"/>
      <c r="BN39" s="5"/>
      <c r="BO39" s="5"/>
      <c r="BP39" s="6"/>
      <c r="BS39" s="4"/>
      <c r="BT39" s="5"/>
      <c r="BU39" s="5"/>
      <c r="BV39" s="5"/>
      <c r="BW39" s="5"/>
      <c r="BX39" s="5"/>
      <c r="BY39" s="5"/>
      <c r="BZ39" s="5"/>
      <c r="CA39" s="6"/>
      <c r="CD39" s="4"/>
      <c r="CE39" s="5"/>
      <c r="CF39" s="5"/>
      <c r="CG39" s="5"/>
      <c r="CH39" s="5"/>
      <c r="CI39" s="5"/>
      <c r="CJ39" s="5"/>
      <c r="CK39" s="5"/>
      <c r="CL39" s="6"/>
      <c r="CO39" s="4"/>
      <c r="CP39" s="5"/>
      <c r="CQ39" s="5"/>
      <c r="CR39" s="5"/>
      <c r="CS39" s="5"/>
      <c r="CT39" s="5"/>
      <c r="CU39" s="5"/>
      <c r="CV39" s="5"/>
      <c r="CW39" s="6"/>
      <c r="CZ39" s="11"/>
      <c r="DA39" s="19"/>
      <c r="DB39" s="20"/>
      <c r="DC39" s="20"/>
      <c r="DD39" s="20"/>
      <c r="DE39" s="20"/>
      <c r="DF39" s="20"/>
      <c r="DG39" s="20"/>
      <c r="DH39" s="21"/>
      <c r="DO39" s="10"/>
      <c r="DP39" s="4"/>
      <c r="DQ39" s="5"/>
      <c r="DR39" s="5"/>
      <c r="DS39" s="5"/>
      <c r="DT39" s="5"/>
      <c r="DU39" s="5"/>
      <c r="DV39" s="5"/>
      <c r="DW39" s="6"/>
      <c r="DZ39" s="4"/>
      <c r="EA39" s="5"/>
      <c r="EB39" s="5"/>
      <c r="EC39" s="5"/>
      <c r="ED39" s="5"/>
      <c r="EE39" s="5"/>
      <c r="EF39" s="5"/>
      <c r="EG39" s="6"/>
      <c r="EJ39" s="4"/>
      <c r="EK39" s="5"/>
      <c r="EL39" s="5"/>
      <c r="EM39" s="5"/>
      <c r="EN39" s="5"/>
      <c r="EO39" s="5"/>
      <c r="EP39" s="5"/>
      <c r="EQ39" s="6"/>
      <c r="ET39" s="4"/>
      <c r="EU39" s="5"/>
      <c r="EV39" s="5"/>
      <c r="EW39" s="5"/>
      <c r="EX39" s="5"/>
      <c r="EY39" s="5"/>
      <c r="EZ39" s="5"/>
      <c r="FA39" s="6"/>
      <c r="FD39" s="4"/>
      <c r="FE39" s="5"/>
      <c r="FF39" s="5"/>
      <c r="FG39" s="5"/>
      <c r="FH39" s="5"/>
      <c r="FI39" s="5"/>
      <c r="FJ39" s="5"/>
      <c r="FK39" s="6"/>
      <c r="FN39" s="4"/>
      <c r="FO39" s="5"/>
      <c r="FP39" s="5"/>
      <c r="FQ39" s="5"/>
      <c r="FR39" s="5"/>
      <c r="FS39" s="5"/>
      <c r="FT39" s="5"/>
      <c r="FU39" s="6"/>
      <c r="FX39" s="4"/>
      <c r="FY39" s="5"/>
      <c r="FZ39" s="5"/>
      <c r="GA39" s="5"/>
      <c r="GB39" s="5"/>
      <c r="GC39" s="5"/>
      <c r="GD39" s="5"/>
      <c r="GE39" s="6"/>
      <c r="GH39" s="4"/>
      <c r="GI39" s="5"/>
      <c r="GJ39" s="5"/>
      <c r="GK39" s="5"/>
      <c r="GL39" s="5"/>
      <c r="GM39" s="5"/>
      <c r="GN39" s="5"/>
      <c r="GO39" s="6"/>
      <c r="GT39" s="11"/>
      <c r="GX39" s="19"/>
      <c r="GY39" s="20"/>
      <c r="GZ39" s="20"/>
      <c r="HA39" s="20"/>
      <c r="HB39" s="20"/>
      <c r="HC39" s="20"/>
      <c r="HD39" s="20"/>
      <c r="HE39" s="21"/>
      <c r="HM39" s="10"/>
      <c r="HN39" s="10"/>
      <c r="HO39" s="27"/>
      <c r="HQ39" s="28"/>
      <c r="HT39" s="27"/>
      <c r="HV39" s="28"/>
      <c r="HW39" s="11"/>
      <c r="HZ39" s="10"/>
      <c r="IA39" s="27"/>
      <c r="IC39" s="28"/>
      <c r="IF39" s="27"/>
      <c r="IH39" s="28"/>
      <c r="II39" s="11"/>
      <c r="IL39" s="10"/>
      <c r="IM39" s="27"/>
      <c r="IO39" s="28"/>
      <c r="IR39" s="27"/>
      <c r="IT39" s="28"/>
      <c r="IU39" s="11"/>
      <c r="IX39" s="10"/>
      <c r="IY39" s="27"/>
      <c r="JA39" s="28"/>
      <c r="JD39" s="27"/>
      <c r="JF39" s="28"/>
      <c r="JG39" s="11"/>
      <c r="JJ39" s="10"/>
      <c r="JK39" s="27"/>
      <c r="JM39" s="28"/>
      <c r="JP39" s="27"/>
      <c r="JR39" s="28"/>
      <c r="JS39" s="11"/>
      <c r="JV39" s="10"/>
      <c r="JW39" s="27"/>
      <c r="JY39" s="28"/>
      <c r="KB39" s="27"/>
      <c r="KD39" s="28"/>
      <c r="KE39" s="11"/>
      <c r="KH39" s="10"/>
      <c r="KI39" s="27"/>
      <c r="KK39" s="28"/>
      <c r="KN39" s="27"/>
      <c r="KP39" s="28"/>
      <c r="KQ39" s="11"/>
      <c r="KX39" s="22"/>
      <c r="KY39" s="23"/>
      <c r="KZ39" s="23"/>
      <c r="LA39" s="23"/>
      <c r="LB39" s="23"/>
      <c r="LC39" s="23"/>
      <c r="LD39" s="23"/>
      <c r="LE39" s="23"/>
      <c r="LF39" s="23"/>
      <c r="LG39" s="23"/>
      <c r="LH39" s="23"/>
      <c r="LI39" s="23"/>
      <c r="LJ39" s="23"/>
      <c r="LK39" s="23"/>
      <c r="LL39" s="24"/>
      <c r="LP39" s="11"/>
    </row>
    <row r="40" spans="2:328" ht="15" customHeight="1" x14ac:dyDescent="0.25">
      <c r="B40" s="7"/>
      <c r="C40" s="8"/>
      <c r="D40" s="8"/>
      <c r="E40" s="8"/>
      <c r="F40" s="8"/>
      <c r="G40" s="8"/>
      <c r="H40" s="8"/>
      <c r="I40" s="8"/>
      <c r="J40" s="9"/>
      <c r="O40" s="10"/>
      <c r="P40" s="10"/>
      <c r="U40" s="27"/>
      <c r="W40" s="28"/>
      <c r="X40" s="11"/>
      <c r="AA40" s="10"/>
      <c r="AF40" s="27"/>
      <c r="AH40" s="28"/>
      <c r="AI40" s="11"/>
      <c r="AL40" s="10"/>
      <c r="AQ40" s="27"/>
      <c r="AS40" s="28"/>
      <c r="AT40" s="11"/>
      <c r="AW40" s="10"/>
      <c r="BB40" s="27"/>
      <c r="BD40" s="28"/>
      <c r="BE40" s="11"/>
      <c r="BH40" s="10"/>
      <c r="BM40" s="27"/>
      <c r="BO40" s="28"/>
      <c r="BP40" s="11"/>
      <c r="BS40" s="10"/>
      <c r="BX40" s="27"/>
      <c r="BZ40" s="28"/>
      <c r="CA40" s="11"/>
      <c r="CD40" s="10"/>
      <c r="CI40" s="27"/>
      <c r="CK40" s="28"/>
      <c r="CL40" s="11"/>
      <c r="CO40" s="10"/>
      <c r="CT40" s="27"/>
      <c r="CV40" s="28"/>
      <c r="CW40" s="11"/>
      <c r="CZ40" s="11"/>
      <c r="DA40" s="19"/>
      <c r="DB40" s="20"/>
      <c r="DC40" s="20"/>
      <c r="DD40" s="20"/>
      <c r="DE40" s="20"/>
      <c r="DF40" s="20"/>
      <c r="DG40" s="20"/>
      <c r="DH40" s="21"/>
      <c r="DO40" s="10"/>
      <c r="DP40" s="10"/>
      <c r="DT40" s="27"/>
      <c r="DV40" s="28"/>
      <c r="DW40" s="11"/>
      <c r="DZ40" s="10"/>
      <c r="ED40" s="27"/>
      <c r="EF40" s="28"/>
      <c r="EG40" s="11"/>
      <c r="EJ40" s="10"/>
      <c r="EN40" s="27"/>
      <c r="EP40" s="28"/>
      <c r="EQ40" s="11"/>
      <c r="ET40" s="10"/>
      <c r="EX40" s="27"/>
      <c r="EZ40" s="28"/>
      <c r="FA40" s="11"/>
      <c r="FD40" s="10"/>
      <c r="FH40" s="27"/>
      <c r="FJ40" s="28"/>
      <c r="FK40" s="11"/>
      <c r="FN40" s="10"/>
      <c r="FR40" s="27"/>
      <c r="FT40" s="28"/>
      <c r="FU40" s="11"/>
      <c r="FX40" s="10"/>
      <c r="GB40" s="27"/>
      <c r="GD40" s="28"/>
      <c r="GE40" s="11"/>
      <c r="GH40" s="10"/>
      <c r="GL40" s="27"/>
      <c r="GN40" s="28"/>
      <c r="GO40" s="11"/>
      <c r="GT40" s="11"/>
      <c r="GX40" s="19"/>
      <c r="GY40" s="20"/>
      <c r="GZ40" s="20"/>
      <c r="HA40" s="20"/>
      <c r="HB40" s="20"/>
      <c r="HC40" s="20"/>
      <c r="HD40" s="20"/>
      <c r="HE40" s="21"/>
      <c r="HM40" s="10"/>
      <c r="HN40" s="10"/>
      <c r="HO40" s="27"/>
      <c r="HQ40" s="28"/>
      <c r="HT40" s="27"/>
      <c r="HV40" s="28"/>
      <c r="HW40" s="11"/>
      <c r="HZ40" s="10"/>
      <c r="IA40" s="27"/>
      <c r="IC40" s="28"/>
      <c r="IF40" s="27"/>
      <c r="IH40" s="28"/>
      <c r="II40" s="11"/>
      <c r="IL40" s="10"/>
      <c r="IM40" s="27"/>
      <c r="IO40" s="28"/>
      <c r="IR40" s="27"/>
      <c r="IT40" s="28"/>
      <c r="IU40" s="11"/>
      <c r="IX40" s="10"/>
      <c r="IY40" s="27"/>
      <c r="JA40" s="28"/>
      <c r="JD40" s="27"/>
      <c r="JF40" s="28"/>
      <c r="JG40" s="11"/>
      <c r="JJ40" s="10"/>
      <c r="JK40" s="27"/>
      <c r="JM40" s="28"/>
      <c r="JP40" s="27"/>
      <c r="JR40" s="28"/>
      <c r="JS40" s="11"/>
      <c r="JV40" s="10"/>
      <c r="JW40" s="27"/>
      <c r="JY40" s="28"/>
      <c r="KB40" s="27"/>
      <c r="KD40" s="28"/>
      <c r="KE40" s="11"/>
      <c r="KH40" s="10"/>
      <c r="KI40" s="27"/>
      <c r="KK40" s="28"/>
      <c r="KN40" s="27"/>
      <c r="KP40" s="28"/>
      <c r="KQ40" s="11"/>
      <c r="KX40" s="22"/>
      <c r="KY40" s="23"/>
      <c r="KZ40" s="23"/>
      <c r="LA40" s="23"/>
      <c r="LB40" s="23"/>
      <c r="LC40" s="23"/>
      <c r="LD40" s="23"/>
      <c r="LE40" s="23"/>
      <c r="LF40" s="23"/>
      <c r="LG40" s="23"/>
      <c r="LH40" s="23"/>
      <c r="LI40" s="23"/>
      <c r="LJ40" s="23"/>
      <c r="LK40" s="23"/>
      <c r="LL40" s="24"/>
      <c r="LP40" s="11"/>
    </row>
    <row r="41" spans="2:328" ht="15" customHeight="1" x14ac:dyDescent="0.25">
      <c r="B41" s="7"/>
      <c r="C41" s="8"/>
      <c r="D41" s="8"/>
      <c r="E41" s="8"/>
      <c r="F41" s="8"/>
      <c r="G41" s="8"/>
      <c r="H41" s="8"/>
      <c r="I41" s="8"/>
      <c r="J41" s="9"/>
      <c r="O41" s="10"/>
      <c r="P41" s="10"/>
      <c r="U41" s="27"/>
      <c r="W41" s="28"/>
      <c r="X41" s="11"/>
      <c r="AA41" s="10"/>
      <c r="AF41" s="27"/>
      <c r="AH41" s="28"/>
      <c r="AI41" s="11"/>
      <c r="AL41" s="10"/>
      <c r="AQ41" s="27"/>
      <c r="AS41" s="28"/>
      <c r="AT41" s="11"/>
      <c r="AW41" s="10"/>
      <c r="BB41" s="27"/>
      <c r="BD41" s="28"/>
      <c r="BE41" s="11"/>
      <c r="BH41" s="10"/>
      <c r="BM41" s="27"/>
      <c r="BO41" s="28"/>
      <c r="BP41" s="11"/>
      <c r="BS41" s="10"/>
      <c r="BX41" s="27"/>
      <c r="BZ41" s="28"/>
      <c r="CA41" s="11"/>
      <c r="CD41" s="10"/>
      <c r="CI41" s="27"/>
      <c r="CK41" s="28"/>
      <c r="CL41" s="11"/>
      <c r="CO41" s="10"/>
      <c r="CT41" s="27"/>
      <c r="CV41" s="28"/>
      <c r="CW41" s="11"/>
      <c r="CZ41" s="11"/>
      <c r="DA41" s="19"/>
      <c r="DB41" s="20"/>
      <c r="DC41" s="20"/>
      <c r="DD41" s="20"/>
      <c r="DE41" s="20"/>
      <c r="DF41" s="20"/>
      <c r="DG41" s="20"/>
      <c r="DH41" s="21"/>
      <c r="DO41" s="10"/>
      <c r="DP41" s="10"/>
      <c r="DT41" s="27"/>
      <c r="DV41" s="28"/>
      <c r="DW41" s="11"/>
      <c r="DZ41" s="10"/>
      <c r="ED41" s="27"/>
      <c r="EF41" s="28"/>
      <c r="EG41" s="11"/>
      <c r="EJ41" s="10"/>
      <c r="EN41" s="27"/>
      <c r="EP41" s="28"/>
      <c r="EQ41" s="11"/>
      <c r="ET41" s="10"/>
      <c r="EX41" s="27"/>
      <c r="EZ41" s="28"/>
      <c r="FA41" s="11"/>
      <c r="FD41" s="10"/>
      <c r="FH41" s="27"/>
      <c r="FJ41" s="28"/>
      <c r="FK41" s="11"/>
      <c r="FN41" s="10"/>
      <c r="FR41" s="27"/>
      <c r="FT41" s="28"/>
      <c r="FU41" s="11"/>
      <c r="FX41" s="10"/>
      <c r="GB41" s="27"/>
      <c r="GD41" s="28"/>
      <c r="GE41" s="11"/>
      <c r="GH41" s="10"/>
      <c r="GL41" s="27"/>
      <c r="GN41" s="28"/>
      <c r="GO41" s="11"/>
      <c r="GT41" s="11"/>
      <c r="GX41" s="19"/>
      <c r="GY41" s="20"/>
      <c r="GZ41" s="20"/>
      <c r="HA41" s="20"/>
      <c r="HB41" s="20"/>
      <c r="HC41" s="20"/>
      <c r="HD41" s="20"/>
      <c r="HE41" s="21"/>
      <c r="HM41" s="10"/>
      <c r="HN41" s="10"/>
      <c r="HO41" s="82"/>
      <c r="HQ41" s="28"/>
      <c r="HT41" s="82"/>
      <c r="HV41" s="28"/>
      <c r="HW41" s="11"/>
      <c r="HZ41" s="10"/>
      <c r="IA41" s="82"/>
      <c r="IC41" s="28"/>
      <c r="IF41" s="82"/>
      <c r="IH41" s="28"/>
      <c r="II41" s="11"/>
      <c r="IL41" s="10"/>
      <c r="IM41" s="82"/>
      <c r="IO41" s="28"/>
      <c r="IR41" s="82"/>
      <c r="IT41" s="28"/>
      <c r="IU41" s="11"/>
      <c r="IX41" s="10"/>
      <c r="IY41" s="82"/>
      <c r="JA41" s="28"/>
      <c r="JD41" s="82"/>
      <c r="JF41" s="28"/>
      <c r="JG41" s="11"/>
      <c r="JJ41" s="10"/>
      <c r="JK41" s="82"/>
      <c r="JM41" s="28"/>
      <c r="JP41" s="82"/>
      <c r="JR41" s="28"/>
      <c r="JS41" s="11"/>
      <c r="JV41" s="10"/>
      <c r="JW41" s="82"/>
      <c r="JY41" s="28"/>
      <c r="KB41" s="82"/>
      <c r="KD41" s="28"/>
      <c r="KE41" s="11"/>
      <c r="KH41" s="10"/>
      <c r="KI41" s="82"/>
      <c r="KK41" s="28"/>
      <c r="KN41" s="82"/>
      <c r="KP41" s="28"/>
      <c r="KQ41" s="11"/>
      <c r="KX41" s="22"/>
      <c r="KY41" s="23"/>
      <c r="KZ41" s="23"/>
      <c r="LA41" s="23"/>
      <c r="LB41" s="23"/>
      <c r="LC41" s="23"/>
      <c r="LD41" s="23"/>
      <c r="LE41" s="23"/>
      <c r="LF41" s="23"/>
      <c r="LG41" s="23"/>
      <c r="LH41" s="23"/>
      <c r="LI41" s="23"/>
      <c r="LJ41" s="23"/>
      <c r="LK41" s="23"/>
      <c r="LL41" s="24"/>
      <c r="LP41" s="11"/>
    </row>
    <row r="42" spans="2:328" ht="15" customHeight="1" x14ac:dyDescent="0.25">
      <c r="B42" s="7"/>
      <c r="C42" s="8"/>
      <c r="D42" s="8"/>
      <c r="E42" s="8"/>
      <c r="F42" s="8"/>
      <c r="G42" s="8"/>
      <c r="H42" s="8"/>
      <c r="I42" s="8"/>
      <c r="J42" s="9"/>
      <c r="O42" s="10"/>
      <c r="P42" s="10"/>
      <c r="U42" s="82"/>
      <c r="W42" s="28"/>
      <c r="X42" s="11"/>
      <c r="AA42" s="10"/>
      <c r="AF42" s="82"/>
      <c r="AH42" s="28"/>
      <c r="AI42" s="11"/>
      <c r="AL42" s="10"/>
      <c r="AQ42" s="82"/>
      <c r="AS42" s="28"/>
      <c r="AT42" s="11"/>
      <c r="AW42" s="10"/>
      <c r="BB42" s="82"/>
      <c r="BD42" s="28"/>
      <c r="BE42" s="11"/>
      <c r="BH42" s="10"/>
      <c r="BM42" s="82"/>
      <c r="BO42" s="28"/>
      <c r="BP42" s="11"/>
      <c r="BS42" s="10"/>
      <c r="BX42" s="82"/>
      <c r="BZ42" s="28"/>
      <c r="CA42" s="11"/>
      <c r="CD42" s="10"/>
      <c r="CI42" s="82"/>
      <c r="CK42" s="28"/>
      <c r="CL42" s="11"/>
      <c r="CO42" s="10"/>
      <c r="CT42" s="82"/>
      <c r="CV42" s="28"/>
      <c r="CW42" s="11"/>
      <c r="CZ42" s="11"/>
      <c r="DA42" s="19"/>
      <c r="DB42" s="20"/>
      <c r="DC42" s="20"/>
      <c r="DD42" s="20"/>
      <c r="DE42" s="20"/>
      <c r="DF42" s="20"/>
      <c r="DG42" s="20"/>
      <c r="DH42" s="21"/>
      <c r="DO42" s="10"/>
      <c r="DP42" s="10"/>
      <c r="DT42" s="82"/>
      <c r="DV42" s="28"/>
      <c r="DW42" s="11"/>
      <c r="DZ42" s="10"/>
      <c r="ED42" s="82"/>
      <c r="EF42" s="28"/>
      <c r="EG42" s="11"/>
      <c r="EJ42" s="10"/>
      <c r="EN42" s="82"/>
      <c r="EP42" s="28"/>
      <c r="EQ42" s="11"/>
      <c r="ET42" s="10"/>
      <c r="EX42" s="82"/>
      <c r="EZ42" s="28"/>
      <c r="FA42" s="11"/>
      <c r="FD42" s="10"/>
      <c r="FH42" s="82"/>
      <c r="FJ42" s="28"/>
      <c r="FK42" s="11"/>
      <c r="FN42" s="10"/>
      <c r="FR42" s="82"/>
      <c r="FT42" s="28"/>
      <c r="FU42" s="11"/>
      <c r="FX42" s="10"/>
      <c r="GB42" s="82"/>
      <c r="GD42" s="28"/>
      <c r="GE42" s="11"/>
      <c r="GH42" s="10"/>
      <c r="GL42" s="82"/>
      <c r="GN42" s="28"/>
      <c r="GO42" s="11"/>
      <c r="GT42" s="11"/>
      <c r="GX42" s="19"/>
      <c r="GY42" s="20"/>
      <c r="GZ42" s="20"/>
      <c r="HA42" s="20"/>
      <c r="HB42" s="20"/>
      <c r="HC42" s="20"/>
      <c r="HD42" s="20"/>
      <c r="HE42" s="21"/>
      <c r="HM42" s="10"/>
      <c r="HN42" s="10"/>
      <c r="HO42" s="82"/>
      <c r="HQ42" s="28"/>
      <c r="HT42" s="82"/>
      <c r="HV42" s="28"/>
      <c r="HW42" s="11"/>
      <c r="HZ42" s="10"/>
      <c r="IA42" s="82"/>
      <c r="IC42" s="28"/>
      <c r="IF42" s="82"/>
      <c r="IH42" s="28"/>
      <c r="II42" s="11"/>
      <c r="IL42" s="10"/>
      <c r="IM42" s="82"/>
      <c r="IO42" s="28"/>
      <c r="IR42" s="82"/>
      <c r="IT42" s="28"/>
      <c r="IU42" s="11"/>
      <c r="IX42" s="10"/>
      <c r="IY42" s="82"/>
      <c r="JA42" s="28"/>
      <c r="JD42" s="82"/>
      <c r="JF42" s="28"/>
      <c r="JG42" s="11"/>
      <c r="JJ42" s="10"/>
      <c r="JK42" s="82"/>
      <c r="JM42" s="28"/>
      <c r="JP42" s="82"/>
      <c r="JR42" s="28"/>
      <c r="JS42" s="11"/>
      <c r="JV42" s="10"/>
      <c r="JW42" s="82"/>
      <c r="JY42" s="28"/>
      <c r="KB42" s="82"/>
      <c r="KD42" s="28"/>
      <c r="KE42" s="11"/>
      <c r="KH42" s="10"/>
      <c r="KI42" s="82"/>
      <c r="KK42" s="28"/>
      <c r="KN42" s="82"/>
      <c r="KP42" s="28"/>
      <c r="KQ42" s="11"/>
      <c r="KX42" s="22"/>
      <c r="KY42" s="23"/>
      <c r="KZ42" s="23"/>
      <c r="LA42" s="23"/>
      <c r="LB42" s="23"/>
      <c r="LC42" s="23"/>
      <c r="LD42" s="23"/>
      <c r="LE42" s="23"/>
      <c r="LF42" s="23"/>
      <c r="LG42" s="23"/>
      <c r="LH42" s="23"/>
      <c r="LI42" s="23"/>
      <c r="LJ42" s="23"/>
      <c r="LK42" s="23"/>
      <c r="LL42" s="24"/>
      <c r="LP42" s="11"/>
    </row>
    <row r="43" spans="2:328" ht="15" customHeight="1" x14ac:dyDescent="0.25">
      <c r="B43" s="7"/>
      <c r="C43" s="8"/>
      <c r="D43" s="8"/>
      <c r="E43" s="8"/>
      <c r="F43" s="8"/>
      <c r="G43" s="8"/>
      <c r="H43" s="8"/>
      <c r="I43" s="8"/>
      <c r="J43" s="9"/>
      <c r="O43" s="10"/>
      <c r="P43" s="10"/>
      <c r="U43" s="82"/>
      <c r="W43" s="28"/>
      <c r="X43" s="11"/>
      <c r="AA43" s="10"/>
      <c r="AF43" s="82"/>
      <c r="AH43" s="28"/>
      <c r="AI43" s="11"/>
      <c r="AL43" s="10"/>
      <c r="AQ43" s="82"/>
      <c r="AS43" s="28"/>
      <c r="AT43" s="11"/>
      <c r="AW43" s="10"/>
      <c r="BB43" s="82"/>
      <c r="BD43" s="28"/>
      <c r="BE43" s="11"/>
      <c r="BH43" s="10"/>
      <c r="BM43" s="82"/>
      <c r="BO43" s="28"/>
      <c r="BP43" s="11"/>
      <c r="BS43" s="10"/>
      <c r="BX43" s="82"/>
      <c r="BZ43" s="28"/>
      <c r="CA43" s="11"/>
      <c r="CD43" s="10"/>
      <c r="CI43" s="82"/>
      <c r="CK43" s="28"/>
      <c r="CL43" s="11"/>
      <c r="CO43" s="10"/>
      <c r="CT43" s="82"/>
      <c r="CV43" s="28"/>
      <c r="CW43" s="11"/>
      <c r="CZ43" s="11"/>
      <c r="DA43" s="19"/>
      <c r="DB43" s="144" t="s">
        <v>3</v>
      </c>
      <c r="DC43" s="144"/>
      <c r="DD43" s="144"/>
      <c r="DE43" s="144"/>
      <c r="DF43" s="144"/>
      <c r="DG43" s="144"/>
      <c r="DH43" s="21"/>
      <c r="DO43" s="10"/>
      <c r="DP43" s="10"/>
      <c r="DT43" s="82"/>
      <c r="DV43" s="28"/>
      <c r="DW43" s="11"/>
      <c r="DZ43" s="10"/>
      <c r="ED43" s="82"/>
      <c r="EF43" s="28"/>
      <c r="EG43" s="11"/>
      <c r="EJ43" s="10"/>
      <c r="EN43" s="82"/>
      <c r="EP43" s="28"/>
      <c r="EQ43" s="11"/>
      <c r="ET43" s="10"/>
      <c r="EX43" s="82"/>
      <c r="EZ43" s="28"/>
      <c r="FA43" s="11"/>
      <c r="FD43" s="10"/>
      <c r="FH43" s="82"/>
      <c r="FJ43" s="28"/>
      <c r="FK43" s="11"/>
      <c r="FN43" s="10"/>
      <c r="FR43" s="82"/>
      <c r="FT43" s="28"/>
      <c r="FU43" s="11"/>
      <c r="FX43" s="10"/>
      <c r="GB43" s="82"/>
      <c r="GD43" s="28"/>
      <c r="GE43" s="11"/>
      <c r="GH43" s="10"/>
      <c r="GL43" s="82"/>
      <c r="GN43" s="28"/>
      <c r="GO43" s="11"/>
      <c r="GT43" s="11"/>
      <c r="GX43" s="19"/>
      <c r="GY43" s="144" t="s">
        <v>11</v>
      </c>
      <c r="GZ43" s="144"/>
      <c r="HA43" s="144"/>
      <c r="HB43" s="144"/>
      <c r="HC43" s="144"/>
      <c r="HD43" s="144"/>
      <c r="HE43" s="21"/>
      <c r="HM43" s="10"/>
      <c r="HN43" s="10"/>
      <c r="HO43" s="82"/>
      <c r="HQ43" s="28"/>
      <c r="HT43" s="82"/>
      <c r="HV43" s="28"/>
      <c r="HW43" s="11"/>
      <c r="HZ43" s="10"/>
      <c r="IA43" s="82"/>
      <c r="IC43" s="28"/>
      <c r="IF43" s="82"/>
      <c r="IH43" s="28"/>
      <c r="II43" s="11"/>
      <c r="IL43" s="10"/>
      <c r="IM43" s="82"/>
      <c r="IO43" s="28"/>
      <c r="IR43" s="82"/>
      <c r="IT43" s="28"/>
      <c r="IU43" s="11"/>
      <c r="IX43" s="10"/>
      <c r="IY43" s="82"/>
      <c r="JA43" s="28"/>
      <c r="JD43" s="82"/>
      <c r="JF43" s="28"/>
      <c r="JG43" s="11"/>
      <c r="JJ43" s="10"/>
      <c r="JK43" s="82"/>
      <c r="JM43" s="28"/>
      <c r="JP43" s="82"/>
      <c r="JR43" s="28"/>
      <c r="JS43" s="11"/>
      <c r="JV43" s="10"/>
      <c r="JW43" s="82"/>
      <c r="JY43" s="28"/>
      <c r="KB43" s="82"/>
      <c r="KD43" s="28"/>
      <c r="KE43" s="11"/>
      <c r="KH43" s="10"/>
      <c r="KI43" s="82"/>
      <c r="KK43" s="28"/>
      <c r="KN43" s="82"/>
      <c r="KP43" s="28"/>
      <c r="KQ43" s="11"/>
      <c r="KX43" s="22"/>
      <c r="KY43" s="23"/>
      <c r="KZ43" s="23"/>
      <c r="LA43" s="23"/>
      <c r="LB43" s="146" t="s">
        <v>4</v>
      </c>
      <c r="LC43" s="147"/>
      <c r="LD43" s="147"/>
      <c r="LE43" s="147"/>
      <c r="LF43" s="147"/>
      <c r="LG43" s="147"/>
      <c r="LH43" s="147"/>
      <c r="LI43" s="23"/>
      <c r="LJ43" s="23"/>
      <c r="LK43" s="23"/>
      <c r="LL43" s="24"/>
      <c r="LP43" s="11"/>
    </row>
    <row r="44" spans="2:328" ht="15" customHeight="1" x14ac:dyDescent="0.25">
      <c r="B44" s="7"/>
      <c r="C44" s="8"/>
      <c r="D44" s="8"/>
      <c r="E44" s="8"/>
      <c r="F44" s="8"/>
      <c r="G44" s="8"/>
      <c r="H44" s="8"/>
      <c r="I44" s="8"/>
      <c r="J44" s="9"/>
      <c r="O44" s="10"/>
      <c r="P44" s="10"/>
      <c r="U44" s="82"/>
      <c r="W44" s="28"/>
      <c r="X44" s="11"/>
      <c r="AA44" s="10"/>
      <c r="AF44" s="82"/>
      <c r="AH44" s="28"/>
      <c r="AI44" s="11"/>
      <c r="AL44" s="10"/>
      <c r="AQ44" s="82"/>
      <c r="AS44" s="28"/>
      <c r="AT44" s="11"/>
      <c r="AW44" s="10"/>
      <c r="BB44" s="82"/>
      <c r="BD44" s="28"/>
      <c r="BE44" s="11"/>
      <c r="BH44" s="10"/>
      <c r="BM44" s="82"/>
      <c r="BO44" s="28"/>
      <c r="BP44" s="11"/>
      <c r="BS44" s="10"/>
      <c r="BX44" s="82"/>
      <c r="BZ44" s="28"/>
      <c r="CA44" s="11"/>
      <c r="CD44" s="10"/>
      <c r="CI44" s="82"/>
      <c r="CK44" s="28"/>
      <c r="CL44" s="11"/>
      <c r="CO44" s="10"/>
      <c r="CT44" s="82"/>
      <c r="CV44" s="28"/>
      <c r="CW44" s="11"/>
      <c r="CZ44" s="11"/>
      <c r="DA44" s="19"/>
      <c r="DB44" s="144"/>
      <c r="DC44" s="144"/>
      <c r="DD44" s="144"/>
      <c r="DE44" s="144"/>
      <c r="DF44" s="144"/>
      <c r="DG44" s="144"/>
      <c r="DH44" s="21"/>
      <c r="DO44" s="10"/>
      <c r="DP44" s="10"/>
      <c r="DT44" s="82"/>
      <c r="DV44" s="28"/>
      <c r="DW44" s="11"/>
      <c r="DZ44" s="10"/>
      <c r="ED44" s="82"/>
      <c r="EF44" s="28"/>
      <c r="EG44" s="11"/>
      <c r="EJ44" s="10"/>
      <c r="EN44" s="82"/>
      <c r="EP44" s="28"/>
      <c r="EQ44" s="11"/>
      <c r="ET44" s="10"/>
      <c r="EX44" s="82"/>
      <c r="EZ44" s="28"/>
      <c r="FA44" s="11"/>
      <c r="FD44" s="10"/>
      <c r="FH44" s="82"/>
      <c r="FJ44" s="28"/>
      <c r="FK44" s="11"/>
      <c r="FN44" s="10"/>
      <c r="FR44" s="82"/>
      <c r="FT44" s="28"/>
      <c r="FU44" s="11"/>
      <c r="FX44" s="10"/>
      <c r="GB44" s="82"/>
      <c r="GD44" s="28"/>
      <c r="GE44" s="11"/>
      <c r="GH44" s="10"/>
      <c r="GL44" s="82"/>
      <c r="GN44" s="28"/>
      <c r="GO44" s="11"/>
      <c r="GT44" s="11"/>
      <c r="GX44" s="19"/>
      <c r="GY44" s="144"/>
      <c r="GZ44" s="144"/>
      <c r="HA44" s="144"/>
      <c r="HB44" s="144"/>
      <c r="HC44" s="144"/>
      <c r="HD44" s="144"/>
      <c r="HE44" s="21"/>
      <c r="HM44" s="10"/>
      <c r="HN44" s="10"/>
      <c r="HW44" s="11"/>
      <c r="HZ44" s="10"/>
      <c r="II44" s="11"/>
      <c r="IL44" s="10"/>
      <c r="IU44" s="11"/>
      <c r="IX44" s="10"/>
      <c r="JG44" s="11"/>
      <c r="JJ44" s="10"/>
      <c r="JS44" s="11"/>
      <c r="JV44" s="10"/>
      <c r="KE44" s="11"/>
      <c r="KH44" s="10"/>
      <c r="KQ44" s="11"/>
      <c r="KX44" s="22"/>
      <c r="KY44" s="23"/>
      <c r="KZ44" s="23"/>
      <c r="LA44" s="23"/>
      <c r="LB44" s="147"/>
      <c r="LC44" s="147"/>
      <c r="LD44" s="147"/>
      <c r="LE44" s="147"/>
      <c r="LF44" s="147"/>
      <c r="LG44" s="147"/>
      <c r="LH44" s="147"/>
      <c r="LI44" s="23"/>
      <c r="LJ44" s="23"/>
      <c r="LK44" s="23"/>
      <c r="LL44" s="24"/>
      <c r="LP44" s="11"/>
    </row>
    <row r="45" spans="2:328" ht="15" customHeight="1" x14ac:dyDescent="0.25">
      <c r="B45" s="7"/>
      <c r="C45" s="8"/>
      <c r="D45" s="8"/>
      <c r="E45" s="8"/>
      <c r="F45" s="8"/>
      <c r="G45" s="8"/>
      <c r="H45" s="8"/>
      <c r="I45" s="8"/>
      <c r="J45" s="9"/>
      <c r="O45" s="10"/>
      <c r="P45" s="10"/>
      <c r="X45" s="11"/>
      <c r="AA45" s="10"/>
      <c r="AI45" s="11"/>
      <c r="AL45" s="10"/>
      <c r="AT45" s="11"/>
      <c r="AW45" s="10"/>
      <c r="BE45" s="11"/>
      <c r="BH45" s="10"/>
      <c r="BP45" s="11"/>
      <c r="BS45" s="10"/>
      <c r="CA45" s="11"/>
      <c r="CD45" s="10"/>
      <c r="CL45" s="11"/>
      <c r="CO45" s="10"/>
      <c r="CW45" s="11"/>
      <c r="CZ45" s="11"/>
      <c r="DA45" s="19"/>
      <c r="DB45" s="144"/>
      <c r="DC45" s="144"/>
      <c r="DD45" s="144"/>
      <c r="DE45" s="144"/>
      <c r="DF45" s="144"/>
      <c r="DG45" s="144"/>
      <c r="DH45" s="21"/>
      <c r="DO45" s="10"/>
      <c r="DP45" s="10"/>
      <c r="DW45" s="11"/>
      <c r="DZ45" s="10"/>
      <c r="EG45" s="11"/>
      <c r="EJ45" s="10"/>
      <c r="EQ45" s="11"/>
      <c r="ET45" s="10"/>
      <c r="FA45" s="11"/>
      <c r="FD45" s="10"/>
      <c r="FK45" s="11"/>
      <c r="FN45" s="10"/>
      <c r="FU45" s="11"/>
      <c r="FX45" s="10"/>
      <c r="GE45" s="11"/>
      <c r="GH45" s="10"/>
      <c r="GO45" s="11"/>
      <c r="GT45" s="11"/>
      <c r="GX45" s="19"/>
      <c r="GY45" s="144"/>
      <c r="GZ45" s="144"/>
      <c r="HA45" s="144"/>
      <c r="HB45" s="144"/>
      <c r="HC45" s="144"/>
      <c r="HD45" s="144"/>
      <c r="HE45" s="21"/>
      <c r="HM45" s="10"/>
      <c r="HN45" s="10"/>
      <c r="HO45" s="139">
        <v>255</v>
      </c>
      <c r="HP45" s="139"/>
      <c r="HQ45" s="139"/>
      <c r="HT45" s="139">
        <v>256</v>
      </c>
      <c r="HU45" s="139"/>
      <c r="HV45" s="139"/>
      <c r="HW45" s="11"/>
      <c r="HZ45" s="10"/>
      <c r="IA45" s="139">
        <v>264</v>
      </c>
      <c r="IB45" s="139"/>
      <c r="IC45" s="139"/>
      <c r="IF45" s="139">
        <v>263</v>
      </c>
      <c r="IG45" s="139"/>
      <c r="IH45" s="139"/>
      <c r="II45" s="11"/>
      <c r="IL45" s="10"/>
      <c r="IM45" s="139">
        <v>162</v>
      </c>
      <c r="IN45" s="139"/>
      <c r="IO45" s="139"/>
      <c r="IR45" s="139">
        <v>261</v>
      </c>
      <c r="IS45" s="139"/>
      <c r="IT45" s="139"/>
      <c r="IU45" s="11"/>
      <c r="IX45" s="10"/>
      <c r="IY45" s="139">
        <v>260</v>
      </c>
      <c r="IZ45" s="139"/>
      <c r="JA45" s="139"/>
      <c r="JD45" s="139">
        <v>259</v>
      </c>
      <c r="JE45" s="139"/>
      <c r="JF45" s="139"/>
      <c r="JG45" s="11"/>
      <c r="JJ45" s="10"/>
      <c r="JK45" s="139">
        <v>270</v>
      </c>
      <c r="JL45" s="139"/>
      <c r="JM45" s="139"/>
      <c r="JP45" s="139">
        <v>269</v>
      </c>
      <c r="JQ45" s="139"/>
      <c r="JR45" s="139"/>
      <c r="JS45" s="11"/>
      <c r="JV45" s="10"/>
      <c r="JW45" s="139">
        <v>268</v>
      </c>
      <c r="JX45" s="139"/>
      <c r="JY45" s="139"/>
      <c r="KB45" s="139">
        <v>267</v>
      </c>
      <c r="KC45" s="139"/>
      <c r="KD45" s="139"/>
      <c r="KE45" s="11"/>
      <c r="KH45" s="10"/>
      <c r="KI45" s="139">
        <v>266</v>
      </c>
      <c r="KJ45" s="139"/>
      <c r="KK45" s="139"/>
      <c r="KN45" s="139">
        <v>265</v>
      </c>
      <c r="KO45" s="139"/>
      <c r="KP45" s="139"/>
      <c r="KQ45" s="11"/>
      <c r="KX45" s="22"/>
      <c r="KY45" s="23"/>
      <c r="KZ45" s="23"/>
      <c r="LA45" s="23"/>
      <c r="LB45" s="147"/>
      <c r="LC45" s="147"/>
      <c r="LD45" s="147"/>
      <c r="LE45" s="147"/>
      <c r="LF45" s="147"/>
      <c r="LG45" s="147"/>
      <c r="LH45" s="147"/>
      <c r="LI45" s="23"/>
      <c r="LJ45" s="23"/>
      <c r="LK45" s="23"/>
      <c r="LL45" s="24"/>
      <c r="LP45" s="11"/>
    </row>
    <row r="46" spans="2:328" ht="15" customHeight="1" x14ac:dyDescent="0.25">
      <c r="B46" s="7"/>
      <c r="C46" s="8"/>
      <c r="D46" s="8"/>
      <c r="E46" s="8"/>
      <c r="F46" s="8"/>
      <c r="G46" s="8"/>
      <c r="H46" s="8"/>
      <c r="I46" s="8"/>
      <c r="J46" s="9"/>
      <c r="O46" s="10"/>
      <c r="P46" s="10"/>
      <c r="U46" s="139">
        <v>216</v>
      </c>
      <c r="V46" s="139"/>
      <c r="W46" s="139"/>
      <c r="X46" s="11"/>
      <c r="AA46" s="10"/>
      <c r="AF46" s="139">
        <v>217</v>
      </c>
      <c r="AG46" s="139"/>
      <c r="AH46" s="139"/>
      <c r="AI46" s="11"/>
      <c r="AL46" s="10"/>
      <c r="AQ46" s="139">
        <v>218</v>
      </c>
      <c r="AR46" s="139"/>
      <c r="AS46" s="139"/>
      <c r="AT46" s="11"/>
      <c r="AW46" s="10"/>
      <c r="BB46" s="139">
        <v>219</v>
      </c>
      <c r="BC46" s="139"/>
      <c r="BD46" s="139"/>
      <c r="BE46" s="11"/>
      <c r="BH46" s="10"/>
      <c r="BM46" s="139">
        <v>220</v>
      </c>
      <c r="BN46" s="139"/>
      <c r="BO46" s="139"/>
      <c r="BP46" s="11"/>
      <c r="BS46" s="10"/>
      <c r="BX46" s="139">
        <v>221</v>
      </c>
      <c r="BY46" s="139"/>
      <c r="BZ46" s="139"/>
      <c r="CA46" s="11"/>
      <c r="CD46" s="10"/>
      <c r="CI46" s="139">
        <v>222</v>
      </c>
      <c r="CJ46" s="139"/>
      <c r="CK46" s="139"/>
      <c r="CL46" s="11"/>
      <c r="CO46" s="10"/>
      <c r="CT46" s="139">
        <v>223</v>
      </c>
      <c r="CU46" s="139"/>
      <c r="CV46" s="139"/>
      <c r="CW46" s="11"/>
      <c r="CZ46" s="11"/>
      <c r="DA46" s="19"/>
      <c r="DB46" s="144"/>
      <c r="DC46" s="144"/>
      <c r="DD46" s="144"/>
      <c r="DE46" s="144"/>
      <c r="DF46" s="144"/>
      <c r="DG46" s="144"/>
      <c r="DH46" s="21"/>
      <c r="DO46" s="10"/>
      <c r="DP46" s="10"/>
      <c r="DT46" s="139">
        <v>224</v>
      </c>
      <c r="DU46" s="139"/>
      <c r="DV46" s="139"/>
      <c r="DW46" s="11"/>
      <c r="DZ46" s="10"/>
      <c r="ED46" s="139">
        <v>226</v>
      </c>
      <c r="EE46" s="139"/>
      <c r="EF46" s="139"/>
      <c r="EG46" s="11"/>
      <c r="EJ46" s="10"/>
      <c r="EN46" s="139">
        <v>247</v>
      </c>
      <c r="EO46" s="139"/>
      <c r="EP46" s="139"/>
      <c r="EQ46" s="11"/>
      <c r="ET46" s="10"/>
      <c r="EX46" s="139">
        <v>248</v>
      </c>
      <c r="EY46" s="139"/>
      <c r="EZ46" s="139"/>
      <c r="FA46" s="11"/>
      <c r="FD46" s="10"/>
      <c r="FH46" s="139">
        <v>250</v>
      </c>
      <c r="FI46" s="139"/>
      <c r="FJ46" s="139"/>
      <c r="FK46" s="11"/>
      <c r="FN46" s="10"/>
      <c r="FR46" s="139">
        <v>252</v>
      </c>
      <c r="FS46" s="139"/>
      <c r="FT46" s="139"/>
      <c r="FU46" s="11"/>
      <c r="FX46" s="10"/>
      <c r="GB46" s="139">
        <v>253</v>
      </c>
      <c r="GC46" s="139"/>
      <c r="GD46" s="139"/>
      <c r="GE46" s="11"/>
      <c r="GH46" s="10"/>
      <c r="GL46" s="139">
        <v>254</v>
      </c>
      <c r="GM46" s="139"/>
      <c r="GN46" s="139"/>
      <c r="GO46" s="11"/>
      <c r="GT46" s="11"/>
      <c r="GX46" s="19"/>
      <c r="GY46" s="144"/>
      <c r="GZ46" s="144"/>
      <c r="HA46" s="144"/>
      <c r="HB46" s="144"/>
      <c r="HC46" s="144"/>
      <c r="HD46" s="144"/>
      <c r="HE46" s="21"/>
      <c r="HM46" s="10"/>
      <c r="HN46" s="10"/>
      <c r="HW46" s="11"/>
      <c r="HZ46" s="10"/>
      <c r="II46" s="11"/>
      <c r="IL46" s="10"/>
      <c r="IU46" s="11"/>
      <c r="IX46" s="10"/>
      <c r="JG46" s="11"/>
      <c r="JJ46" s="10"/>
      <c r="JS46" s="11"/>
      <c r="JV46" s="10"/>
      <c r="KE46" s="11"/>
      <c r="KH46" s="10"/>
      <c r="KQ46" s="11"/>
      <c r="KX46" s="22"/>
      <c r="KY46" s="23"/>
      <c r="KZ46" s="23"/>
      <c r="LA46" s="23"/>
      <c r="LB46" s="147"/>
      <c r="LC46" s="147"/>
      <c r="LD46" s="147"/>
      <c r="LE46" s="147"/>
      <c r="LF46" s="147"/>
      <c r="LG46" s="147"/>
      <c r="LH46" s="147"/>
      <c r="LI46" s="23"/>
      <c r="LJ46" s="23"/>
      <c r="LK46" s="23"/>
      <c r="LL46" s="24"/>
      <c r="LP46" s="11"/>
    </row>
    <row r="47" spans="2:328" ht="15" customHeight="1" x14ac:dyDescent="0.25">
      <c r="B47" s="7"/>
      <c r="C47" s="8"/>
      <c r="D47" s="8"/>
      <c r="E47" s="8"/>
      <c r="F47" s="8"/>
      <c r="G47" s="8"/>
      <c r="H47" s="8"/>
      <c r="I47" s="8"/>
      <c r="J47" s="9"/>
      <c r="O47" s="10"/>
      <c r="P47" s="10"/>
      <c r="X47" s="11"/>
      <c r="AA47" s="10"/>
      <c r="AI47" s="11"/>
      <c r="AL47" s="10"/>
      <c r="AT47" s="11"/>
      <c r="AW47" s="10"/>
      <c r="BE47" s="11"/>
      <c r="BH47" s="10"/>
      <c r="BP47" s="11"/>
      <c r="BS47" s="10"/>
      <c r="CA47" s="11"/>
      <c r="CD47" s="10"/>
      <c r="CL47" s="11"/>
      <c r="CO47" s="10"/>
      <c r="CW47" s="11"/>
      <c r="CZ47" s="11"/>
      <c r="DA47" s="19"/>
      <c r="DB47" s="144"/>
      <c r="DC47" s="144"/>
      <c r="DD47" s="144"/>
      <c r="DE47" s="144"/>
      <c r="DF47" s="144"/>
      <c r="DG47" s="144"/>
      <c r="DH47" s="21"/>
      <c r="DO47" s="10"/>
      <c r="DP47" s="10"/>
      <c r="DW47" s="11"/>
      <c r="DZ47" s="10"/>
      <c r="EG47" s="11"/>
      <c r="EJ47" s="10"/>
      <c r="EQ47" s="11"/>
      <c r="ET47" s="10"/>
      <c r="FA47" s="11"/>
      <c r="FD47" s="10"/>
      <c r="FK47" s="11"/>
      <c r="FN47" s="10"/>
      <c r="FU47" s="11"/>
      <c r="FX47" s="10"/>
      <c r="GE47" s="11"/>
      <c r="GH47" s="10"/>
      <c r="GO47" s="11"/>
      <c r="GT47" s="11"/>
      <c r="GX47" s="19"/>
      <c r="GY47" s="144"/>
      <c r="GZ47" s="144"/>
      <c r="HA47" s="144"/>
      <c r="HB47" s="144"/>
      <c r="HC47" s="144"/>
      <c r="HD47" s="144"/>
      <c r="HE47" s="21"/>
      <c r="HM47" s="10"/>
      <c r="HN47" s="10"/>
      <c r="HW47" s="11"/>
      <c r="HZ47" s="10"/>
      <c r="II47" s="11"/>
      <c r="IL47" s="10"/>
      <c r="IU47" s="11"/>
      <c r="IX47" s="10"/>
      <c r="JG47" s="11"/>
      <c r="JJ47" s="10"/>
      <c r="JS47" s="11"/>
      <c r="JV47" s="10"/>
      <c r="KE47" s="11"/>
      <c r="KH47" s="10"/>
      <c r="KQ47" s="11"/>
      <c r="KX47" s="22"/>
      <c r="KY47" s="23"/>
      <c r="KZ47" s="23"/>
      <c r="LA47" s="23"/>
      <c r="LB47" s="147"/>
      <c r="LC47" s="147"/>
      <c r="LD47" s="147"/>
      <c r="LE47" s="147"/>
      <c r="LF47" s="147"/>
      <c r="LG47" s="147"/>
      <c r="LH47" s="147"/>
      <c r="LI47" s="23"/>
      <c r="LJ47" s="23"/>
      <c r="LK47" s="23"/>
      <c r="LL47" s="24"/>
      <c r="LP47" s="11"/>
    </row>
    <row r="48" spans="2:328" ht="15" customHeight="1" x14ac:dyDescent="0.25">
      <c r="B48" s="7"/>
      <c r="C48" s="8"/>
      <c r="D48" s="8"/>
      <c r="E48" s="8"/>
      <c r="F48" s="8"/>
      <c r="G48" s="8"/>
      <c r="H48" s="8"/>
      <c r="I48" s="8"/>
      <c r="J48" s="9"/>
      <c r="O48" s="10"/>
      <c r="P48" s="10"/>
      <c r="X48" s="11"/>
      <c r="AA48" s="10"/>
      <c r="AI48" s="11"/>
      <c r="AL48" s="10"/>
      <c r="AT48" s="11"/>
      <c r="AW48" s="10"/>
      <c r="BE48" s="11"/>
      <c r="BH48" s="10"/>
      <c r="BP48" s="11"/>
      <c r="BS48" s="10"/>
      <c r="CA48" s="11"/>
      <c r="CD48" s="10"/>
      <c r="CL48" s="11"/>
      <c r="CO48" s="10"/>
      <c r="CW48" s="11"/>
      <c r="CZ48" s="11"/>
      <c r="DA48" s="19"/>
      <c r="DB48" s="144"/>
      <c r="DC48" s="144"/>
      <c r="DD48" s="144"/>
      <c r="DE48" s="144"/>
      <c r="DF48" s="144"/>
      <c r="DG48" s="144"/>
      <c r="DH48" s="21"/>
      <c r="DO48" s="10"/>
      <c r="DP48" s="10"/>
      <c r="DW48" s="11"/>
      <c r="DZ48" s="10"/>
      <c r="EG48" s="11"/>
      <c r="EJ48" s="10"/>
      <c r="EQ48" s="11"/>
      <c r="ET48" s="10"/>
      <c r="FA48" s="11"/>
      <c r="FD48" s="10"/>
      <c r="FK48" s="11"/>
      <c r="FN48" s="10"/>
      <c r="FU48" s="11"/>
      <c r="FX48" s="10"/>
      <c r="GE48" s="11"/>
      <c r="GH48" s="10"/>
      <c r="GO48" s="11"/>
      <c r="GT48" s="11"/>
      <c r="GX48" s="19"/>
      <c r="GY48" s="144"/>
      <c r="GZ48" s="144"/>
      <c r="HA48" s="144"/>
      <c r="HB48" s="144"/>
      <c r="HC48" s="144"/>
      <c r="HD48" s="144"/>
      <c r="HE48" s="21"/>
      <c r="HM48" s="10"/>
      <c r="HN48" s="10"/>
      <c r="HW48" s="25"/>
      <c r="HZ48" s="10"/>
      <c r="II48" s="25"/>
      <c r="IL48" s="10"/>
      <c r="IU48" s="25"/>
      <c r="IX48" s="10"/>
      <c r="JG48" s="25"/>
      <c r="JJ48" s="10"/>
      <c r="JS48" s="25"/>
      <c r="JV48" s="10"/>
      <c r="KE48" s="25"/>
      <c r="KH48" s="10"/>
      <c r="KQ48" s="25"/>
      <c r="KX48" s="22"/>
      <c r="KY48" s="23"/>
      <c r="KZ48" s="23"/>
      <c r="LA48" s="23"/>
      <c r="LB48" s="147"/>
      <c r="LC48" s="147"/>
      <c r="LD48" s="147"/>
      <c r="LE48" s="147"/>
      <c r="LF48" s="147"/>
      <c r="LG48" s="147"/>
      <c r="LH48" s="147"/>
      <c r="LI48" s="23"/>
      <c r="LJ48" s="23"/>
      <c r="LK48" s="23"/>
      <c r="LL48" s="24"/>
      <c r="LP48" s="11"/>
    </row>
    <row r="49" spans="2:328" ht="15" customHeight="1" x14ac:dyDescent="0.25">
      <c r="B49" s="7"/>
      <c r="C49" s="8"/>
      <c r="D49" s="8"/>
      <c r="E49" s="8"/>
      <c r="F49" s="8"/>
      <c r="G49" s="8"/>
      <c r="H49" s="8"/>
      <c r="I49" s="8"/>
      <c r="J49" s="9"/>
      <c r="O49" s="10"/>
      <c r="P49" s="10"/>
      <c r="X49" s="25"/>
      <c r="AA49" s="10"/>
      <c r="AI49" s="25"/>
      <c r="AL49" s="10"/>
      <c r="AT49" s="25"/>
      <c r="AW49" s="10"/>
      <c r="BE49" s="25"/>
      <c r="BH49" s="10"/>
      <c r="BP49" s="25"/>
      <c r="BS49" s="10"/>
      <c r="CA49" s="25"/>
      <c r="CD49" s="10"/>
      <c r="CL49" s="25"/>
      <c r="CO49" s="10"/>
      <c r="CW49" s="25"/>
      <c r="CZ49" s="11"/>
      <c r="DA49" s="19"/>
      <c r="DB49" s="144"/>
      <c r="DC49" s="144"/>
      <c r="DD49" s="144"/>
      <c r="DE49" s="144"/>
      <c r="DF49" s="144"/>
      <c r="DG49" s="144"/>
      <c r="DH49" s="21"/>
      <c r="DO49" s="10"/>
      <c r="DP49" s="10"/>
      <c r="DW49" s="25"/>
      <c r="DZ49" s="10"/>
      <c r="EG49" s="25"/>
      <c r="EJ49" s="10"/>
      <c r="EQ49" s="25"/>
      <c r="ET49" s="10"/>
      <c r="FA49" s="25"/>
      <c r="FD49" s="10"/>
      <c r="FK49" s="25"/>
      <c r="FN49" s="10"/>
      <c r="FU49" s="25"/>
      <c r="FX49" s="10"/>
      <c r="GE49" s="25"/>
      <c r="GH49" s="10"/>
      <c r="GO49" s="25"/>
      <c r="GT49" s="11"/>
      <c r="GX49" s="19"/>
      <c r="GY49" s="144"/>
      <c r="GZ49" s="144"/>
      <c r="HA49" s="144"/>
      <c r="HB49" s="144"/>
      <c r="HC49" s="144"/>
      <c r="HD49" s="144"/>
      <c r="HE49" s="21"/>
      <c r="HM49" s="10"/>
      <c r="HN49" s="10"/>
      <c r="HU49" s="26"/>
      <c r="HV49" s="26"/>
      <c r="HW49" s="25"/>
      <c r="HZ49" s="10"/>
      <c r="IG49" s="26"/>
      <c r="IH49" s="26"/>
      <c r="II49" s="25"/>
      <c r="IL49" s="10"/>
      <c r="IS49" s="26"/>
      <c r="IT49" s="26"/>
      <c r="IU49" s="25"/>
      <c r="IX49" s="10"/>
      <c r="JE49" s="26"/>
      <c r="JF49" s="26"/>
      <c r="JG49" s="25"/>
      <c r="JJ49" s="10"/>
      <c r="JQ49" s="26"/>
      <c r="JR49" s="26"/>
      <c r="JS49" s="25"/>
      <c r="JV49" s="10"/>
      <c r="KC49" s="26"/>
      <c r="KD49" s="26"/>
      <c r="KE49" s="25"/>
      <c r="KH49" s="10"/>
      <c r="KO49" s="26"/>
      <c r="KP49" s="26"/>
      <c r="KQ49" s="25"/>
      <c r="KX49" s="22"/>
      <c r="KY49" s="23"/>
      <c r="KZ49" s="23"/>
      <c r="LA49" s="23"/>
      <c r="LB49" s="147"/>
      <c r="LC49" s="147"/>
      <c r="LD49" s="147"/>
      <c r="LE49" s="147"/>
      <c r="LF49" s="147"/>
      <c r="LG49" s="147"/>
      <c r="LH49" s="147"/>
      <c r="LI49" s="23"/>
      <c r="LJ49" s="23"/>
      <c r="LK49" s="23"/>
      <c r="LL49" s="24"/>
      <c r="LP49" s="11"/>
    </row>
    <row r="50" spans="2:328" ht="15" customHeight="1" x14ac:dyDescent="0.25">
      <c r="B50" s="7"/>
      <c r="C50" s="8"/>
      <c r="D50" s="8"/>
      <c r="E50" s="8"/>
      <c r="F50" s="8"/>
      <c r="G50" s="8"/>
      <c r="H50" s="8"/>
      <c r="I50" s="8"/>
      <c r="J50" s="9"/>
      <c r="O50" s="10"/>
      <c r="P50" s="10"/>
      <c r="V50" s="26"/>
      <c r="W50" s="26"/>
      <c r="X50" s="25"/>
      <c r="AA50" s="10"/>
      <c r="AG50" s="26"/>
      <c r="AH50" s="26"/>
      <c r="AI50" s="25"/>
      <c r="AL50" s="10"/>
      <c r="AR50" s="26"/>
      <c r="AS50" s="26"/>
      <c r="AT50" s="25"/>
      <c r="AW50" s="10"/>
      <c r="BC50" s="26"/>
      <c r="BD50" s="26"/>
      <c r="BE50" s="25"/>
      <c r="BH50" s="10"/>
      <c r="BN50" s="26"/>
      <c r="BO50" s="26"/>
      <c r="BP50" s="25"/>
      <c r="BS50" s="10"/>
      <c r="BY50" s="26"/>
      <c r="BZ50" s="26"/>
      <c r="CA50" s="25"/>
      <c r="CD50" s="10"/>
      <c r="CJ50" s="26"/>
      <c r="CK50" s="26"/>
      <c r="CL50" s="25"/>
      <c r="CO50" s="10"/>
      <c r="CU50" s="26"/>
      <c r="CV50" s="26"/>
      <c r="CW50" s="25"/>
      <c r="CZ50" s="11"/>
      <c r="DA50" s="19"/>
      <c r="DB50" s="144"/>
      <c r="DC50" s="144"/>
      <c r="DD50" s="144"/>
      <c r="DE50" s="144"/>
      <c r="DF50" s="144"/>
      <c r="DG50" s="144"/>
      <c r="DH50" s="21"/>
      <c r="DO50" s="10"/>
      <c r="DP50" s="10"/>
      <c r="DU50" s="26"/>
      <c r="DV50" s="26"/>
      <c r="DW50" s="25"/>
      <c r="DZ50" s="10"/>
      <c r="EE50" s="26"/>
      <c r="EF50" s="26"/>
      <c r="EG50" s="25"/>
      <c r="EJ50" s="10"/>
      <c r="EO50" s="26"/>
      <c r="EP50" s="26"/>
      <c r="EQ50" s="25"/>
      <c r="ET50" s="10"/>
      <c r="EY50" s="26"/>
      <c r="EZ50" s="26"/>
      <c r="FA50" s="25"/>
      <c r="FD50" s="10"/>
      <c r="FI50" s="26"/>
      <c r="FJ50" s="26"/>
      <c r="FK50" s="25"/>
      <c r="FN50" s="10"/>
      <c r="FS50" s="26"/>
      <c r="FT50" s="26"/>
      <c r="FU50" s="25"/>
      <c r="FX50" s="10"/>
      <c r="GC50" s="26"/>
      <c r="GD50" s="26"/>
      <c r="GE50" s="25"/>
      <c r="GH50" s="10"/>
      <c r="GM50" s="26"/>
      <c r="GN50" s="26"/>
      <c r="GO50" s="25"/>
      <c r="GT50" s="11"/>
      <c r="GX50" s="19"/>
      <c r="GY50" s="144"/>
      <c r="GZ50" s="144"/>
      <c r="HA50" s="144"/>
      <c r="HB50" s="144"/>
      <c r="HC50" s="144"/>
      <c r="HD50" s="144"/>
      <c r="HE50" s="21"/>
      <c r="HM50" s="10"/>
      <c r="HN50" s="10"/>
      <c r="HW50" s="11"/>
      <c r="HZ50" s="10"/>
      <c r="II50" s="11"/>
      <c r="IL50" s="10"/>
      <c r="IU50" s="11"/>
      <c r="IX50" s="10"/>
      <c r="JG50" s="11"/>
      <c r="JJ50" s="10"/>
      <c r="JS50" s="11"/>
      <c r="JV50" s="10"/>
      <c r="KE50" s="11"/>
      <c r="KH50" s="10"/>
      <c r="KQ50" s="11"/>
      <c r="KX50" s="22"/>
      <c r="KY50" s="23"/>
      <c r="KZ50" s="23"/>
      <c r="LA50" s="23"/>
      <c r="LB50" s="147"/>
      <c r="LC50" s="147"/>
      <c r="LD50" s="147"/>
      <c r="LE50" s="147"/>
      <c r="LF50" s="147"/>
      <c r="LG50" s="147"/>
      <c r="LH50" s="147"/>
      <c r="LI50" s="23"/>
      <c r="LJ50" s="23"/>
      <c r="LK50" s="23"/>
      <c r="LL50" s="24"/>
      <c r="LP50" s="11"/>
    </row>
    <row r="51" spans="2:328" ht="15" customHeight="1" x14ac:dyDescent="0.25">
      <c r="B51" s="7"/>
      <c r="C51" s="8"/>
      <c r="D51" s="8"/>
      <c r="E51" s="8"/>
      <c r="F51" s="8"/>
      <c r="G51" s="8"/>
      <c r="H51" s="8"/>
      <c r="I51" s="8"/>
      <c r="J51" s="9"/>
      <c r="O51" s="10"/>
      <c r="P51" s="10"/>
      <c r="X51" s="11"/>
      <c r="AA51" s="10"/>
      <c r="AI51" s="11"/>
      <c r="AL51" s="10"/>
      <c r="AT51" s="11"/>
      <c r="AW51" s="10"/>
      <c r="BE51" s="11"/>
      <c r="BH51" s="10"/>
      <c r="BP51" s="11"/>
      <c r="BS51" s="10"/>
      <c r="CA51" s="11"/>
      <c r="CD51" s="10"/>
      <c r="CL51" s="11"/>
      <c r="CO51" s="10"/>
      <c r="CW51" s="11"/>
      <c r="CZ51" s="11"/>
      <c r="DA51" s="19"/>
      <c r="DB51" s="144"/>
      <c r="DC51" s="144"/>
      <c r="DD51" s="144"/>
      <c r="DE51" s="144"/>
      <c r="DF51" s="144"/>
      <c r="DG51" s="144"/>
      <c r="DH51" s="21"/>
      <c r="DO51" s="10"/>
      <c r="DP51" s="10"/>
      <c r="DW51" s="11"/>
      <c r="DZ51" s="10"/>
      <c r="EG51" s="11"/>
      <c r="EJ51" s="10"/>
      <c r="EQ51" s="11"/>
      <c r="ET51" s="10"/>
      <c r="FA51" s="11"/>
      <c r="FD51" s="10"/>
      <c r="FK51" s="11"/>
      <c r="FN51" s="10"/>
      <c r="FU51" s="11"/>
      <c r="FX51" s="10"/>
      <c r="GE51" s="11"/>
      <c r="GH51" s="10"/>
      <c r="GO51" s="11"/>
      <c r="GT51" s="11"/>
      <c r="GX51" s="19"/>
      <c r="GY51" s="144"/>
      <c r="GZ51" s="144"/>
      <c r="HA51" s="144"/>
      <c r="HB51" s="144"/>
      <c r="HC51" s="144"/>
      <c r="HD51" s="144"/>
      <c r="HE51" s="21"/>
      <c r="HM51" s="44"/>
      <c r="HW51" s="11"/>
      <c r="HZ51" s="10"/>
      <c r="II51" s="11"/>
      <c r="IL51" s="10"/>
      <c r="IU51" s="11"/>
      <c r="IX51" s="10"/>
      <c r="JG51" s="11"/>
      <c r="JJ51" s="10"/>
      <c r="JS51" s="11"/>
      <c r="JV51" s="10"/>
      <c r="KE51" s="11"/>
      <c r="KH51" s="10"/>
      <c r="KQ51" s="11"/>
      <c r="KX51" s="22"/>
      <c r="KY51" s="23"/>
      <c r="KZ51" s="23"/>
      <c r="LA51" s="23"/>
      <c r="LB51" s="147"/>
      <c r="LC51" s="147"/>
      <c r="LD51" s="147"/>
      <c r="LE51" s="147"/>
      <c r="LF51" s="147"/>
      <c r="LG51" s="147"/>
      <c r="LH51" s="147"/>
      <c r="LI51" s="23"/>
      <c r="LJ51" s="23"/>
      <c r="LK51" s="23"/>
      <c r="LL51" s="24"/>
      <c r="LP51" s="11"/>
    </row>
    <row r="52" spans="2:328" ht="15" customHeight="1" x14ac:dyDescent="0.25">
      <c r="B52" s="7"/>
      <c r="C52" s="8"/>
      <c r="D52" s="8"/>
      <c r="E52" s="8"/>
      <c r="F52" s="8"/>
      <c r="G52" s="8"/>
      <c r="H52" s="8"/>
      <c r="I52" s="8"/>
      <c r="J52" s="9"/>
      <c r="O52" s="10"/>
      <c r="P52" s="10"/>
      <c r="X52" s="11"/>
      <c r="AA52" s="10"/>
      <c r="AI52" s="11"/>
      <c r="AL52" s="10"/>
      <c r="AT52" s="11"/>
      <c r="AW52" s="10"/>
      <c r="BE52" s="11"/>
      <c r="BH52" s="10"/>
      <c r="BP52" s="11"/>
      <c r="BS52" s="10"/>
      <c r="CA52" s="11"/>
      <c r="CD52" s="10"/>
      <c r="CL52" s="11"/>
      <c r="CO52" s="10"/>
      <c r="CW52" s="11"/>
      <c r="CZ52" s="11"/>
      <c r="DA52" s="19"/>
      <c r="DB52" s="144"/>
      <c r="DC52" s="144"/>
      <c r="DD52" s="144"/>
      <c r="DE52" s="144"/>
      <c r="DF52" s="144"/>
      <c r="DG52" s="144"/>
      <c r="DH52" s="21"/>
      <c r="DO52" s="10"/>
      <c r="DP52" s="10"/>
      <c r="DW52" s="11"/>
      <c r="DZ52" s="10"/>
      <c r="EG52" s="11"/>
      <c r="EJ52" s="10"/>
      <c r="EQ52" s="11"/>
      <c r="ET52" s="10"/>
      <c r="FA52" s="11"/>
      <c r="FD52" s="10"/>
      <c r="FK52" s="11"/>
      <c r="FN52" s="10"/>
      <c r="FU52" s="11"/>
      <c r="FX52" s="10"/>
      <c r="GE52" s="11"/>
      <c r="GH52" s="10"/>
      <c r="GO52" s="11"/>
      <c r="GT52" s="11"/>
      <c r="GX52" s="19"/>
      <c r="GY52" s="45"/>
      <c r="GZ52" s="45"/>
      <c r="HA52" s="45"/>
      <c r="HB52" s="45"/>
      <c r="HC52" s="45"/>
      <c r="HD52" s="45"/>
      <c r="HE52" s="21"/>
      <c r="HM52" s="10"/>
      <c r="HN52" s="141" t="s">
        <v>12</v>
      </c>
      <c r="HO52" s="142"/>
      <c r="HP52" s="142"/>
      <c r="HQ52" s="142"/>
      <c r="HR52" s="142"/>
      <c r="HS52" s="142"/>
      <c r="HT52" s="142"/>
      <c r="HW52" s="11"/>
      <c r="HZ52" s="10"/>
      <c r="II52" s="11"/>
      <c r="IL52" s="10"/>
      <c r="IO52" s="141" t="s">
        <v>13</v>
      </c>
      <c r="IP52" s="142"/>
      <c r="IQ52" s="142"/>
      <c r="IR52" s="142"/>
      <c r="IS52" s="142"/>
      <c r="IT52" s="142"/>
      <c r="IU52" s="142"/>
      <c r="IX52" s="10"/>
      <c r="JG52" s="11"/>
      <c r="JJ52" s="10"/>
      <c r="JS52" s="11"/>
      <c r="JV52" s="10"/>
      <c r="JY52" s="141" t="s">
        <v>14</v>
      </c>
      <c r="JZ52" s="142"/>
      <c r="KA52" s="142"/>
      <c r="KB52" s="142"/>
      <c r="KC52" s="142"/>
      <c r="KD52" s="142"/>
      <c r="KE52" s="142"/>
      <c r="KH52" s="10"/>
      <c r="KQ52" s="11"/>
      <c r="KX52" s="22"/>
      <c r="KY52" s="23"/>
      <c r="KZ52" s="23"/>
      <c r="LA52" s="23"/>
      <c r="LB52" s="23"/>
      <c r="LC52" s="23"/>
      <c r="LD52" s="23"/>
      <c r="LE52" s="23"/>
      <c r="LF52" s="23"/>
      <c r="LG52" s="23"/>
      <c r="LH52" s="23"/>
      <c r="LI52" s="23"/>
      <c r="LJ52" s="23"/>
      <c r="LK52" s="23"/>
      <c r="LL52" s="24"/>
      <c r="LP52" s="11"/>
    </row>
    <row r="53" spans="2:328" ht="15" customHeight="1" x14ac:dyDescent="0.25">
      <c r="B53" s="7"/>
      <c r="C53" s="8"/>
      <c r="D53" s="8"/>
      <c r="E53" s="8"/>
      <c r="F53" s="8"/>
      <c r="G53" s="8"/>
      <c r="H53" s="8"/>
      <c r="I53" s="8"/>
      <c r="J53" s="9"/>
      <c r="O53" s="10"/>
      <c r="P53" s="10"/>
      <c r="X53" s="11"/>
      <c r="AA53" s="10"/>
      <c r="AI53" s="11"/>
      <c r="AL53" s="10"/>
      <c r="AT53" s="11"/>
      <c r="AW53" s="10"/>
      <c r="BE53" s="11"/>
      <c r="BH53" s="10"/>
      <c r="BP53" s="11"/>
      <c r="BS53" s="10"/>
      <c r="BT53" s="141" t="s">
        <v>15</v>
      </c>
      <c r="BU53" s="142"/>
      <c r="BV53" s="142"/>
      <c r="BW53" s="142"/>
      <c r="BX53" s="142"/>
      <c r="BY53" s="142"/>
      <c r="BZ53" s="142"/>
      <c r="CA53" s="11"/>
      <c r="CD53" s="10"/>
      <c r="CL53" s="11"/>
      <c r="CO53" s="10"/>
      <c r="CP53" s="141" t="s">
        <v>16</v>
      </c>
      <c r="CQ53" s="142"/>
      <c r="CR53" s="142"/>
      <c r="CS53" s="142"/>
      <c r="CT53" s="142"/>
      <c r="CU53" s="142"/>
      <c r="CV53" s="142"/>
      <c r="CW53" s="11"/>
      <c r="CZ53" s="11"/>
      <c r="DA53" s="19"/>
      <c r="DB53" s="144"/>
      <c r="DC53" s="144"/>
      <c r="DD53" s="144"/>
      <c r="DE53" s="144"/>
      <c r="DF53" s="144"/>
      <c r="DG53" s="144"/>
      <c r="DH53" s="21"/>
      <c r="DO53" s="10"/>
      <c r="DP53" s="10"/>
      <c r="DW53" s="11"/>
      <c r="DZ53" s="10"/>
      <c r="EG53" s="11"/>
      <c r="EJ53" s="10"/>
      <c r="EQ53" s="11"/>
      <c r="ET53" s="10"/>
      <c r="FA53" s="11"/>
      <c r="FD53" s="10"/>
      <c r="FE53" s="141" t="s">
        <v>25</v>
      </c>
      <c r="FF53" s="142"/>
      <c r="FG53" s="142"/>
      <c r="FH53" s="142"/>
      <c r="FI53" s="142"/>
      <c r="FJ53" s="142"/>
      <c r="FK53" s="142"/>
      <c r="FN53" s="10"/>
      <c r="FU53" s="11"/>
      <c r="FX53" s="10"/>
      <c r="GE53" s="11"/>
      <c r="GH53" s="10"/>
      <c r="GO53" s="11"/>
      <c r="GT53" s="11"/>
      <c r="GX53" s="19"/>
      <c r="GY53" s="45"/>
      <c r="GZ53" s="45"/>
      <c r="HA53" s="45"/>
      <c r="HB53" s="45"/>
      <c r="HC53" s="45"/>
      <c r="HD53" s="45"/>
      <c r="HE53" s="21"/>
      <c r="HM53" s="10"/>
      <c r="HN53" s="142"/>
      <c r="HO53" s="142"/>
      <c r="HP53" s="142"/>
      <c r="HQ53" s="142"/>
      <c r="HR53" s="142"/>
      <c r="HS53" s="142"/>
      <c r="HT53" s="142"/>
      <c r="HW53" s="11"/>
      <c r="HZ53" s="10"/>
      <c r="II53" s="11"/>
      <c r="IL53" s="10"/>
      <c r="IO53" s="142"/>
      <c r="IP53" s="142"/>
      <c r="IQ53" s="142"/>
      <c r="IR53" s="142"/>
      <c r="IS53" s="142"/>
      <c r="IT53" s="142"/>
      <c r="IU53" s="142"/>
      <c r="IX53" s="10"/>
      <c r="JG53" s="11"/>
      <c r="JJ53" s="10"/>
      <c r="JS53" s="11"/>
      <c r="JV53" s="10"/>
      <c r="JY53" s="142"/>
      <c r="JZ53" s="142"/>
      <c r="KA53" s="142"/>
      <c r="KB53" s="142"/>
      <c r="KC53" s="142"/>
      <c r="KD53" s="142"/>
      <c r="KE53" s="142"/>
      <c r="KH53" s="10"/>
      <c r="KQ53" s="11"/>
      <c r="KX53" s="22"/>
      <c r="KY53" s="23"/>
      <c r="KZ53" s="23"/>
      <c r="LA53" s="23"/>
      <c r="LB53" s="23"/>
      <c r="LC53" s="23"/>
      <c r="LD53" s="23"/>
      <c r="LE53" s="23"/>
      <c r="LF53" s="23"/>
      <c r="LG53" s="23"/>
      <c r="LH53" s="23"/>
      <c r="LI53" s="23"/>
      <c r="LJ53" s="23"/>
      <c r="LK53" s="23"/>
      <c r="LL53" s="24"/>
      <c r="LP53" s="11"/>
    </row>
    <row r="54" spans="2:328" ht="15" customHeight="1" x14ac:dyDescent="0.25">
      <c r="B54" s="7"/>
      <c r="C54" s="8"/>
      <c r="D54" s="8"/>
      <c r="E54" s="8"/>
      <c r="F54" s="8"/>
      <c r="G54" s="8"/>
      <c r="H54" s="8"/>
      <c r="I54" s="8"/>
      <c r="J54" s="9"/>
      <c r="O54" s="10"/>
      <c r="P54" s="10"/>
      <c r="X54" s="11"/>
      <c r="AA54" s="10"/>
      <c r="AI54" s="11"/>
      <c r="AL54" s="10"/>
      <c r="AT54" s="11"/>
      <c r="AW54" s="10"/>
      <c r="BE54" s="11"/>
      <c r="BH54" s="10"/>
      <c r="BP54" s="11"/>
      <c r="BS54" s="10"/>
      <c r="BT54" s="142"/>
      <c r="BU54" s="142"/>
      <c r="BV54" s="142"/>
      <c r="BW54" s="142"/>
      <c r="BX54" s="142"/>
      <c r="BY54" s="142"/>
      <c r="BZ54" s="142"/>
      <c r="CA54" s="11"/>
      <c r="CD54" s="10"/>
      <c r="CL54" s="11"/>
      <c r="CO54" s="10"/>
      <c r="CP54" s="142"/>
      <c r="CQ54" s="142"/>
      <c r="CR54" s="142"/>
      <c r="CS54" s="142"/>
      <c r="CT54" s="142"/>
      <c r="CU54" s="142"/>
      <c r="CV54" s="142"/>
      <c r="CW54" s="11"/>
      <c r="CZ54" s="11"/>
      <c r="DA54" s="19"/>
      <c r="DB54" s="144"/>
      <c r="DC54" s="144"/>
      <c r="DD54" s="144"/>
      <c r="DE54" s="144"/>
      <c r="DF54" s="144"/>
      <c r="DG54" s="144"/>
      <c r="DH54" s="21"/>
      <c r="DO54" s="10"/>
      <c r="DP54" s="10"/>
      <c r="DW54" s="11"/>
      <c r="DZ54" s="10"/>
      <c r="EG54" s="11"/>
      <c r="EJ54" s="10"/>
      <c r="EQ54" s="11"/>
      <c r="ET54" s="10"/>
      <c r="FA54" s="11"/>
      <c r="FD54" s="10"/>
      <c r="FE54" s="142"/>
      <c r="FF54" s="142"/>
      <c r="FG54" s="142"/>
      <c r="FH54" s="142"/>
      <c r="FI54" s="142"/>
      <c r="FJ54" s="142"/>
      <c r="FK54" s="142"/>
      <c r="FN54" s="10"/>
      <c r="FU54" s="11"/>
      <c r="FX54" s="10"/>
      <c r="GE54" s="11"/>
      <c r="GH54" s="10"/>
      <c r="GO54" s="11"/>
      <c r="GT54" s="11"/>
      <c r="GX54" s="19"/>
      <c r="GY54" s="45"/>
      <c r="GZ54" s="45"/>
      <c r="HA54" s="45"/>
      <c r="HB54" s="45"/>
      <c r="HC54" s="45"/>
      <c r="HD54" s="45"/>
      <c r="HE54" s="21"/>
      <c r="HM54" s="10"/>
      <c r="HN54" s="10"/>
      <c r="HW54" s="11"/>
      <c r="HZ54" s="10"/>
      <c r="II54" s="11"/>
      <c r="IL54" s="10"/>
      <c r="IU54" s="11"/>
      <c r="IX54" s="10"/>
      <c r="JG54" s="11"/>
      <c r="JJ54" s="10"/>
      <c r="JS54" s="11"/>
      <c r="JV54" s="10"/>
      <c r="KE54" s="11"/>
      <c r="KH54" s="10"/>
      <c r="KQ54" s="11"/>
      <c r="KX54" s="22"/>
      <c r="KY54" s="23"/>
      <c r="KZ54" s="23"/>
      <c r="LA54" s="23"/>
      <c r="LB54" s="23"/>
      <c r="LC54" s="23"/>
      <c r="LD54" s="23"/>
      <c r="LE54" s="23"/>
      <c r="LF54" s="23"/>
      <c r="LG54" s="23"/>
      <c r="LH54" s="23"/>
      <c r="LI54" s="23"/>
      <c r="LJ54" s="23"/>
      <c r="LK54" s="23"/>
      <c r="LL54" s="24"/>
      <c r="LP54" s="11"/>
    </row>
    <row r="55" spans="2:328" ht="15" customHeight="1" x14ac:dyDescent="0.25">
      <c r="B55" s="7"/>
      <c r="C55" s="8"/>
      <c r="D55" s="8"/>
      <c r="E55" s="8"/>
      <c r="F55" s="8"/>
      <c r="G55" s="8"/>
      <c r="H55" s="8"/>
      <c r="I55" s="8"/>
      <c r="J55" s="9"/>
      <c r="O55" s="10"/>
      <c r="P55" s="10"/>
      <c r="X55" s="11"/>
      <c r="AA55" s="10"/>
      <c r="AI55" s="11"/>
      <c r="AL55" s="10"/>
      <c r="AT55" s="11"/>
      <c r="AW55" s="10"/>
      <c r="BE55" s="11"/>
      <c r="BH55" s="10"/>
      <c r="BP55" s="11"/>
      <c r="BS55" s="10"/>
      <c r="CA55" s="11"/>
      <c r="CD55" s="10"/>
      <c r="CL55" s="11"/>
      <c r="CO55" s="10"/>
      <c r="CW55" s="11"/>
      <c r="CZ55" s="11"/>
      <c r="DA55" s="19"/>
      <c r="DB55" s="144"/>
      <c r="DC55" s="144"/>
      <c r="DD55" s="144"/>
      <c r="DE55" s="144"/>
      <c r="DF55" s="144"/>
      <c r="DG55" s="144"/>
      <c r="DH55" s="21"/>
      <c r="DO55" s="10"/>
      <c r="DP55" s="10"/>
      <c r="DW55" s="11"/>
      <c r="DZ55" s="10"/>
      <c r="EG55" s="11"/>
      <c r="EJ55" s="10"/>
      <c r="EQ55" s="11"/>
      <c r="ET55" s="10"/>
      <c r="FA55" s="11"/>
      <c r="FD55" s="10"/>
      <c r="FK55" s="11"/>
      <c r="FN55" s="10"/>
      <c r="FU55" s="11"/>
      <c r="FX55" s="10"/>
      <c r="GE55" s="11"/>
      <c r="GH55" s="10"/>
      <c r="GO55" s="11"/>
      <c r="GT55" s="11"/>
      <c r="GX55" s="19"/>
      <c r="GY55" s="45"/>
      <c r="GZ55" s="45"/>
      <c r="HA55" s="45"/>
      <c r="HB55" s="45"/>
      <c r="HC55" s="45"/>
      <c r="HD55" s="45"/>
      <c r="HE55" s="21"/>
      <c r="HM55" s="10"/>
      <c r="HN55" s="10"/>
      <c r="HO55" s="139" t="s">
        <v>0</v>
      </c>
      <c r="HP55" s="139"/>
      <c r="HQ55" s="139"/>
      <c r="HT55" s="139" t="s">
        <v>0</v>
      </c>
      <c r="HU55" s="139"/>
      <c r="HV55" s="139"/>
      <c r="HW55" s="11"/>
      <c r="HZ55" s="10"/>
      <c r="IA55" s="139" t="s">
        <v>0</v>
      </c>
      <c r="IB55" s="139"/>
      <c r="IC55" s="139"/>
      <c r="IF55" s="139" t="s">
        <v>0</v>
      </c>
      <c r="IG55" s="139"/>
      <c r="IH55" s="139"/>
      <c r="II55" s="11"/>
      <c r="IL55" s="10"/>
      <c r="IM55" s="139" t="s">
        <v>0</v>
      </c>
      <c r="IN55" s="139"/>
      <c r="IO55" s="139"/>
      <c r="IR55" s="139" t="s">
        <v>0</v>
      </c>
      <c r="IS55" s="139"/>
      <c r="IT55" s="139"/>
      <c r="IU55" s="11"/>
      <c r="IX55" s="10"/>
      <c r="IY55" s="139" t="s">
        <v>0</v>
      </c>
      <c r="IZ55" s="139"/>
      <c r="JA55" s="139"/>
      <c r="JD55" s="139" t="s">
        <v>0</v>
      </c>
      <c r="JE55" s="139"/>
      <c r="JF55" s="139"/>
      <c r="JG55" s="11"/>
      <c r="JJ55" s="10"/>
      <c r="JK55" s="139" t="s">
        <v>0</v>
      </c>
      <c r="JL55" s="139"/>
      <c r="JM55" s="139"/>
      <c r="JP55" s="139" t="s">
        <v>0</v>
      </c>
      <c r="JQ55" s="139"/>
      <c r="JR55" s="139"/>
      <c r="JS55" s="11"/>
      <c r="JV55" s="10"/>
      <c r="JW55" s="139" t="s">
        <v>0</v>
      </c>
      <c r="JX55" s="139"/>
      <c r="JY55" s="139"/>
      <c r="KB55" s="139" t="s">
        <v>0</v>
      </c>
      <c r="KC55" s="139"/>
      <c r="KD55" s="139"/>
      <c r="KE55" s="11"/>
      <c r="KH55" s="10"/>
      <c r="KI55" s="139" t="s">
        <v>0</v>
      </c>
      <c r="KJ55" s="139"/>
      <c r="KK55" s="139"/>
      <c r="KN55" s="139" t="s">
        <v>0</v>
      </c>
      <c r="KO55" s="139"/>
      <c r="KP55" s="139"/>
      <c r="KQ55" s="11"/>
      <c r="KX55" s="22"/>
      <c r="KY55" s="23"/>
      <c r="KZ55" s="23"/>
      <c r="LA55" s="23"/>
      <c r="LB55" s="23"/>
      <c r="LC55" s="23"/>
      <c r="LD55" s="23"/>
      <c r="LE55" s="23"/>
      <c r="LF55" s="23"/>
      <c r="LG55" s="23"/>
      <c r="LH55" s="23"/>
      <c r="LI55" s="23"/>
      <c r="LJ55" s="23"/>
      <c r="LK55" s="23"/>
      <c r="LL55" s="24"/>
      <c r="LP55" s="11"/>
    </row>
    <row r="56" spans="2:328" ht="15" customHeight="1" x14ac:dyDescent="0.25">
      <c r="B56" s="7"/>
      <c r="C56" s="8"/>
      <c r="D56" s="8"/>
      <c r="E56" s="8"/>
      <c r="F56" s="8"/>
      <c r="G56" s="8"/>
      <c r="H56" s="8"/>
      <c r="I56" s="8"/>
      <c r="J56" s="9"/>
      <c r="O56" s="10"/>
      <c r="P56" s="10"/>
      <c r="U56" s="139" t="s">
        <v>0</v>
      </c>
      <c r="V56" s="139"/>
      <c r="W56" s="139"/>
      <c r="X56" s="11"/>
      <c r="AA56" s="10"/>
      <c r="AF56" s="139" t="s">
        <v>0</v>
      </c>
      <c r="AG56" s="139"/>
      <c r="AH56" s="139"/>
      <c r="AI56" s="11"/>
      <c r="AL56" s="10"/>
      <c r="AQ56" s="139" t="s">
        <v>0</v>
      </c>
      <c r="AR56" s="139"/>
      <c r="AS56" s="139"/>
      <c r="AT56" s="11"/>
      <c r="AW56" s="10"/>
      <c r="BB56" s="139" t="s">
        <v>0</v>
      </c>
      <c r="BC56" s="139"/>
      <c r="BD56" s="139"/>
      <c r="BE56" s="11"/>
      <c r="BH56" s="10"/>
      <c r="BM56" s="139" t="s">
        <v>0</v>
      </c>
      <c r="BN56" s="139"/>
      <c r="BO56" s="139"/>
      <c r="BP56" s="11"/>
      <c r="BS56" s="10"/>
      <c r="BX56" s="139" t="s">
        <v>0</v>
      </c>
      <c r="BY56" s="139"/>
      <c r="BZ56" s="139"/>
      <c r="CA56" s="11"/>
      <c r="CD56" s="10"/>
      <c r="CI56" s="139" t="s">
        <v>0</v>
      </c>
      <c r="CJ56" s="139"/>
      <c r="CK56" s="139"/>
      <c r="CL56" s="11"/>
      <c r="CO56" s="10"/>
      <c r="CT56" s="139" t="s">
        <v>0</v>
      </c>
      <c r="CU56" s="139"/>
      <c r="CV56" s="139"/>
      <c r="CW56" s="11"/>
      <c r="CZ56" s="11"/>
      <c r="DA56" s="19"/>
      <c r="DB56" s="20"/>
      <c r="DC56" s="20"/>
      <c r="DD56" s="20"/>
      <c r="DE56" s="20"/>
      <c r="DF56" s="20"/>
      <c r="DG56" s="20"/>
      <c r="DH56" s="21"/>
      <c r="DO56" s="10"/>
      <c r="DP56" s="10"/>
      <c r="DT56" s="29" t="s">
        <v>0</v>
      </c>
      <c r="DU56" s="29"/>
      <c r="DV56" s="29"/>
      <c r="DW56" s="11"/>
      <c r="DZ56" s="10"/>
      <c r="ED56" s="139" t="s">
        <v>0</v>
      </c>
      <c r="EE56" s="139"/>
      <c r="EF56" s="139"/>
      <c r="EG56" s="11"/>
      <c r="EJ56" s="10"/>
      <c r="EN56" s="139" t="s">
        <v>0</v>
      </c>
      <c r="EO56" s="139"/>
      <c r="EP56" s="139"/>
      <c r="EQ56" s="11"/>
      <c r="ET56" s="10"/>
      <c r="EX56" s="139" t="s">
        <v>0</v>
      </c>
      <c r="EY56" s="139"/>
      <c r="EZ56" s="139"/>
      <c r="FA56" s="11"/>
      <c r="FD56" s="10"/>
      <c r="FH56" s="139" t="s">
        <v>0</v>
      </c>
      <c r="FI56" s="139"/>
      <c r="FJ56" s="139"/>
      <c r="FK56" s="11"/>
      <c r="FN56" s="10"/>
      <c r="FR56" s="139" t="s">
        <v>0</v>
      </c>
      <c r="FS56" s="139"/>
      <c r="FT56" s="139"/>
      <c r="FU56" s="11"/>
      <c r="FX56" s="10"/>
      <c r="GB56" s="139" t="s">
        <v>0</v>
      </c>
      <c r="GC56" s="139"/>
      <c r="GD56" s="139"/>
      <c r="GE56" s="11"/>
      <c r="GH56" s="10"/>
      <c r="GL56" s="139" t="s">
        <v>0</v>
      </c>
      <c r="GM56" s="139"/>
      <c r="GN56" s="139"/>
      <c r="GO56" s="11"/>
      <c r="GT56" s="11"/>
      <c r="GX56" s="19"/>
      <c r="GY56" s="20"/>
      <c r="GZ56" s="20"/>
      <c r="HA56" s="20"/>
      <c r="HB56" s="20"/>
      <c r="HC56" s="20"/>
      <c r="HD56" s="20"/>
      <c r="HE56" s="21"/>
      <c r="HM56" s="10"/>
      <c r="HN56" s="10"/>
      <c r="HO56" s="140">
        <v>154</v>
      </c>
      <c r="HP56" s="140"/>
      <c r="HQ56" s="140"/>
      <c r="HT56" s="140">
        <v>153</v>
      </c>
      <c r="HU56" s="140"/>
      <c r="HV56" s="140"/>
      <c r="HW56" s="11"/>
      <c r="HZ56" s="10"/>
      <c r="IA56" s="140">
        <v>152</v>
      </c>
      <c r="IB56" s="140"/>
      <c r="IC56" s="140"/>
      <c r="IF56" s="140">
        <v>151</v>
      </c>
      <c r="IG56" s="140"/>
      <c r="IH56" s="140"/>
      <c r="II56" s="11"/>
      <c r="IL56" s="10"/>
      <c r="IM56" s="140">
        <v>150</v>
      </c>
      <c r="IN56" s="140"/>
      <c r="IO56" s="140"/>
      <c r="IR56" s="140">
        <v>149</v>
      </c>
      <c r="IS56" s="140"/>
      <c r="IT56" s="140"/>
      <c r="IU56" s="11"/>
      <c r="IX56" s="10"/>
      <c r="IY56" s="140">
        <v>148</v>
      </c>
      <c r="IZ56" s="140"/>
      <c r="JA56" s="140"/>
      <c r="JD56" s="140">
        <v>147</v>
      </c>
      <c r="JE56" s="140"/>
      <c r="JF56" s="140"/>
      <c r="JG56" s="11"/>
      <c r="JJ56" s="10"/>
      <c r="JK56" s="140">
        <v>146</v>
      </c>
      <c r="JL56" s="140"/>
      <c r="JM56" s="140"/>
      <c r="JP56" s="140">
        <v>145</v>
      </c>
      <c r="JQ56" s="140"/>
      <c r="JR56" s="140"/>
      <c r="JS56" s="11"/>
      <c r="JV56" s="10"/>
      <c r="JW56" s="140">
        <v>144</v>
      </c>
      <c r="JX56" s="140"/>
      <c r="JY56" s="140"/>
      <c r="KB56" s="140">
        <v>143</v>
      </c>
      <c r="KC56" s="140"/>
      <c r="KD56" s="140"/>
      <c r="KE56" s="11"/>
      <c r="KH56" s="10"/>
      <c r="KI56" s="140">
        <v>142</v>
      </c>
      <c r="KJ56" s="140"/>
      <c r="KK56" s="140"/>
      <c r="KN56" s="140">
        <v>141</v>
      </c>
      <c r="KO56" s="140"/>
      <c r="KP56" s="140"/>
      <c r="KQ56" s="11"/>
      <c r="KX56" s="22"/>
      <c r="KY56" s="23"/>
      <c r="KZ56" s="23"/>
      <c r="LA56" s="23"/>
      <c r="LB56" s="23"/>
      <c r="LC56" s="23"/>
      <c r="LD56" s="23"/>
      <c r="LE56" s="23"/>
      <c r="LF56" s="23"/>
      <c r="LG56" s="23"/>
      <c r="LH56" s="23"/>
      <c r="LI56" s="23"/>
      <c r="LJ56" s="23"/>
      <c r="LK56" s="23"/>
      <c r="LL56" s="24"/>
      <c r="LP56" s="11"/>
    </row>
    <row r="57" spans="2:328" ht="15" customHeight="1" x14ac:dyDescent="0.25">
      <c r="B57" s="7"/>
      <c r="C57" s="8"/>
      <c r="D57" s="8"/>
      <c r="E57" s="8"/>
      <c r="F57" s="8"/>
      <c r="G57" s="8"/>
      <c r="H57" s="8"/>
      <c r="I57" s="8"/>
      <c r="J57" s="9"/>
      <c r="O57" s="10"/>
      <c r="P57" s="10"/>
      <c r="U57" s="140">
        <v>0</v>
      </c>
      <c r="V57" s="140"/>
      <c r="W57" s="140"/>
      <c r="X57" s="11"/>
      <c r="AA57" s="10"/>
      <c r="AF57" s="140">
        <v>174</v>
      </c>
      <c r="AG57" s="140"/>
      <c r="AH57" s="140"/>
      <c r="AI57" s="11"/>
      <c r="AL57" s="10"/>
      <c r="AQ57" s="140">
        <v>173</v>
      </c>
      <c r="AR57" s="140"/>
      <c r="AS57" s="140"/>
      <c r="AT57" s="11"/>
      <c r="AW57" s="10"/>
      <c r="BB57" s="140">
        <v>172</v>
      </c>
      <c r="BC57" s="140"/>
      <c r="BD57" s="140"/>
      <c r="BE57" s="11"/>
      <c r="BH57" s="10"/>
      <c r="BM57" s="140">
        <v>171</v>
      </c>
      <c r="BN57" s="140"/>
      <c r="BO57" s="140"/>
      <c r="BP57" s="11"/>
      <c r="BS57" s="10"/>
      <c r="BX57" s="140">
        <v>170</v>
      </c>
      <c r="BY57" s="140"/>
      <c r="BZ57" s="140"/>
      <c r="CA57" s="11"/>
      <c r="CD57" s="10"/>
      <c r="CI57" s="140">
        <v>169</v>
      </c>
      <c r="CJ57" s="140"/>
      <c r="CK57" s="140"/>
      <c r="CL57" s="11"/>
      <c r="CO57" s="10"/>
      <c r="CT57" s="140">
        <v>168</v>
      </c>
      <c r="CU57" s="140"/>
      <c r="CV57" s="140"/>
      <c r="CW57" s="11"/>
      <c r="CZ57" s="11"/>
      <c r="DA57" s="19"/>
      <c r="DB57" s="20"/>
      <c r="DC57" s="20"/>
      <c r="DD57" s="20"/>
      <c r="DE57" s="20"/>
      <c r="DF57" s="20"/>
      <c r="DG57" s="20"/>
      <c r="DH57" s="21"/>
      <c r="DO57" s="10"/>
      <c r="DP57" s="10"/>
      <c r="DS57" s="140">
        <v>165</v>
      </c>
      <c r="DT57" s="140"/>
      <c r="DU57" s="140"/>
      <c r="DV57" s="29"/>
      <c r="DW57" s="11"/>
      <c r="DZ57" s="10"/>
      <c r="ED57" s="140">
        <v>164</v>
      </c>
      <c r="EE57" s="140"/>
      <c r="EF57" s="140"/>
      <c r="EG57" s="11"/>
      <c r="EJ57" s="10"/>
      <c r="EN57" s="140">
        <v>163</v>
      </c>
      <c r="EO57" s="140"/>
      <c r="EP57" s="140"/>
      <c r="EQ57" s="11"/>
      <c r="ET57" s="10"/>
      <c r="EX57" s="140">
        <v>162</v>
      </c>
      <c r="EY57" s="140"/>
      <c r="EZ57" s="140"/>
      <c r="FA57" s="11"/>
      <c r="FD57" s="10"/>
      <c r="FH57" s="140">
        <v>161</v>
      </c>
      <c r="FI57" s="140"/>
      <c r="FJ57" s="140"/>
      <c r="FK57" s="11"/>
      <c r="FN57" s="10"/>
      <c r="FR57" s="140">
        <v>160</v>
      </c>
      <c r="FS57" s="140"/>
      <c r="FT57" s="140"/>
      <c r="FU57" s="11"/>
      <c r="FX57" s="10"/>
      <c r="GB57" s="140">
        <v>159</v>
      </c>
      <c r="GC57" s="140"/>
      <c r="GD57" s="140"/>
      <c r="GE57" s="11"/>
      <c r="GH57" s="10"/>
      <c r="GL57" s="140">
        <v>158</v>
      </c>
      <c r="GM57" s="140"/>
      <c r="GN57" s="140"/>
      <c r="GO57" s="11"/>
      <c r="GT57" s="11"/>
      <c r="GX57" s="19"/>
      <c r="GY57" s="20"/>
      <c r="GZ57" s="20"/>
      <c r="HA57" s="20"/>
      <c r="HB57" s="20"/>
      <c r="HC57" s="20"/>
      <c r="HD57" s="20"/>
      <c r="HE57" s="21"/>
      <c r="HM57" s="10"/>
      <c r="HN57" s="30"/>
      <c r="HO57" s="12"/>
      <c r="HP57" s="12"/>
      <c r="HQ57" s="12"/>
      <c r="HR57" s="12"/>
      <c r="HS57" s="12"/>
      <c r="HT57" s="12"/>
      <c r="HU57" s="12"/>
      <c r="HV57" s="12"/>
      <c r="HW57" s="31"/>
      <c r="HZ57" s="30"/>
      <c r="IA57" s="12"/>
      <c r="IB57" s="12"/>
      <c r="IC57" s="12"/>
      <c r="ID57" s="12"/>
      <c r="IE57" s="12"/>
      <c r="IF57" s="12"/>
      <c r="IG57" s="12"/>
      <c r="IH57" s="12"/>
      <c r="II57" s="31"/>
      <c r="IL57" s="30"/>
      <c r="IM57" s="12"/>
      <c r="IN57" s="12"/>
      <c r="IO57" s="12"/>
      <c r="IP57" s="12"/>
      <c r="IQ57" s="12"/>
      <c r="IR57" s="12"/>
      <c r="IS57" s="12"/>
      <c r="IT57" s="12"/>
      <c r="IU57" s="31"/>
      <c r="IX57" s="30"/>
      <c r="IY57" s="12"/>
      <c r="IZ57" s="12"/>
      <c r="JA57" s="12"/>
      <c r="JB57" s="12"/>
      <c r="JC57" s="12"/>
      <c r="JD57" s="12"/>
      <c r="JE57" s="12"/>
      <c r="JF57" s="12"/>
      <c r="JG57" s="31"/>
      <c r="JJ57" s="30"/>
      <c r="JK57" s="12"/>
      <c r="JL57" s="12"/>
      <c r="JM57" s="12"/>
      <c r="JN57" s="12"/>
      <c r="JO57" s="12"/>
      <c r="JP57" s="12"/>
      <c r="JQ57" s="12"/>
      <c r="JR57" s="12"/>
      <c r="JS57" s="31"/>
      <c r="JV57" s="30"/>
      <c r="JW57" s="12"/>
      <c r="JX57" s="12"/>
      <c r="JY57" s="12"/>
      <c r="JZ57" s="12"/>
      <c r="KA57" s="12"/>
      <c r="KB57" s="12"/>
      <c r="KC57" s="12"/>
      <c r="KD57" s="12"/>
      <c r="KE57" s="31"/>
      <c r="KH57" s="30"/>
      <c r="KI57" s="12"/>
      <c r="KJ57" s="12"/>
      <c r="KK57" s="12"/>
      <c r="KL57" s="12"/>
      <c r="KM57" s="12"/>
      <c r="KN57" s="12"/>
      <c r="KO57" s="12"/>
      <c r="KP57" s="12"/>
      <c r="KQ57" s="31"/>
      <c r="KX57" s="22"/>
      <c r="KY57" s="23"/>
      <c r="KZ57" s="23"/>
      <c r="LA57" s="23"/>
      <c r="LB57" s="23"/>
      <c r="LC57" s="23"/>
      <c r="LD57" s="23"/>
      <c r="LE57" s="23"/>
      <c r="LF57" s="23"/>
      <c r="LG57" s="23"/>
      <c r="LH57" s="23"/>
      <c r="LI57" s="23"/>
      <c r="LJ57" s="23"/>
      <c r="LK57" s="23"/>
      <c r="LL57" s="24"/>
      <c r="LP57" s="11"/>
    </row>
    <row r="58" spans="2:328" ht="15" customHeight="1" x14ac:dyDescent="0.25">
      <c r="B58" s="7"/>
      <c r="C58" s="8"/>
      <c r="D58" s="8"/>
      <c r="E58" s="8"/>
      <c r="F58" s="8"/>
      <c r="G58" s="8"/>
      <c r="H58" s="8"/>
      <c r="I58" s="8"/>
      <c r="J58" s="9"/>
      <c r="O58" s="10"/>
      <c r="P58" s="30"/>
      <c r="Q58" s="12"/>
      <c r="R58" s="12"/>
      <c r="S58" s="12"/>
      <c r="T58" s="12"/>
      <c r="U58" s="12"/>
      <c r="V58" s="12"/>
      <c r="W58" s="12"/>
      <c r="X58" s="31"/>
      <c r="AA58" s="30"/>
      <c r="AB58" s="12"/>
      <c r="AC58" s="12"/>
      <c r="AD58" s="12"/>
      <c r="AE58" s="12"/>
      <c r="AF58" s="12"/>
      <c r="AG58" s="12"/>
      <c r="AH58" s="12"/>
      <c r="AI58" s="31"/>
      <c r="AL58" s="30"/>
      <c r="AM58" s="12"/>
      <c r="AN58" s="12"/>
      <c r="AO58" s="12"/>
      <c r="AP58" s="12"/>
      <c r="AQ58" s="12"/>
      <c r="AR58" s="12"/>
      <c r="AS58" s="12"/>
      <c r="AT58" s="31"/>
      <c r="AW58" s="30"/>
      <c r="AX58" s="12"/>
      <c r="AY58" s="12"/>
      <c r="AZ58" s="12"/>
      <c r="BA58" s="12"/>
      <c r="BB58" s="12"/>
      <c r="BC58" s="12"/>
      <c r="BD58" s="12"/>
      <c r="BE58" s="31"/>
      <c r="BH58" s="30"/>
      <c r="BI58" s="12"/>
      <c r="BJ58" s="12"/>
      <c r="BK58" s="12"/>
      <c r="BL58" s="12"/>
      <c r="BM58" s="12"/>
      <c r="BN58" s="12"/>
      <c r="BO58" s="12"/>
      <c r="BP58" s="31"/>
      <c r="BS58" s="30"/>
      <c r="BT58" s="12"/>
      <c r="BU58" s="12"/>
      <c r="BV58" s="12"/>
      <c r="BW58" s="12"/>
      <c r="BX58" s="12"/>
      <c r="BY58" s="12"/>
      <c r="BZ58" s="12"/>
      <c r="CA58" s="31"/>
      <c r="CD58" s="30"/>
      <c r="CE58" s="12"/>
      <c r="CF58" s="12"/>
      <c r="CG58" s="12"/>
      <c r="CH58" s="12"/>
      <c r="CI58" s="12"/>
      <c r="CJ58" s="12"/>
      <c r="CK58" s="12"/>
      <c r="CL58" s="31"/>
      <c r="CO58" s="30"/>
      <c r="CP58" s="12"/>
      <c r="CQ58" s="12"/>
      <c r="CR58" s="12"/>
      <c r="CS58" s="12"/>
      <c r="CT58" s="12"/>
      <c r="CU58" s="12"/>
      <c r="CV58" s="12"/>
      <c r="CW58" s="31"/>
      <c r="CZ58" s="11"/>
      <c r="DA58" s="19"/>
      <c r="DB58" s="20"/>
      <c r="DC58" s="20"/>
      <c r="DD58" s="20"/>
      <c r="DE58" s="20"/>
      <c r="DF58" s="20"/>
      <c r="DG58" s="20"/>
      <c r="DH58" s="21"/>
      <c r="DO58" s="10"/>
      <c r="DP58" s="30"/>
      <c r="DQ58" s="12"/>
      <c r="DR58" s="12"/>
      <c r="DS58" s="12"/>
      <c r="DT58" s="12"/>
      <c r="DU58" s="12"/>
      <c r="DV58" s="12"/>
      <c r="DW58" s="31"/>
      <c r="DZ58" s="30"/>
      <c r="EA58" s="12"/>
      <c r="EB58" s="12"/>
      <c r="EC58" s="12"/>
      <c r="ED58" s="12"/>
      <c r="EE58" s="12"/>
      <c r="EF58" s="12"/>
      <c r="EG58" s="31"/>
      <c r="EJ58" s="30"/>
      <c r="EK58" s="12"/>
      <c r="EL58" s="12"/>
      <c r="EM58" s="12"/>
      <c r="EN58" s="12"/>
      <c r="EO58" s="12"/>
      <c r="EP58" s="12"/>
      <c r="EQ58" s="31"/>
      <c r="ET58" s="30"/>
      <c r="EU58" s="12"/>
      <c r="EV58" s="12"/>
      <c r="EW58" s="12"/>
      <c r="EX58" s="12"/>
      <c r="EY58" s="12"/>
      <c r="EZ58" s="12"/>
      <c r="FA58" s="31"/>
      <c r="FD58" s="30"/>
      <c r="FE58" s="12"/>
      <c r="FF58" s="12"/>
      <c r="FG58" s="12"/>
      <c r="FH58" s="12"/>
      <c r="FI58" s="12"/>
      <c r="FJ58" s="12"/>
      <c r="FK58" s="31"/>
      <c r="FN58" s="30"/>
      <c r="FO58" s="12"/>
      <c r="FP58" s="12"/>
      <c r="FQ58" s="12"/>
      <c r="FR58" s="12"/>
      <c r="FS58" s="12"/>
      <c r="FT58" s="12"/>
      <c r="FU58" s="31"/>
      <c r="FX58" s="30"/>
      <c r="FY58" s="12"/>
      <c r="FZ58" s="12"/>
      <c r="GA58" s="12"/>
      <c r="GB58" s="12"/>
      <c r="GC58" s="12"/>
      <c r="GD58" s="12"/>
      <c r="GE58" s="31"/>
      <c r="GH58" s="30"/>
      <c r="GI58" s="12"/>
      <c r="GJ58" s="12"/>
      <c r="GK58" s="12"/>
      <c r="GL58" s="12"/>
      <c r="GM58" s="12"/>
      <c r="GN58" s="12"/>
      <c r="GO58" s="31"/>
      <c r="GT58" s="11"/>
      <c r="GX58" s="19"/>
      <c r="GY58" s="20"/>
      <c r="GZ58" s="20"/>
      <c r="HA58" s="20"/>
      <c r="HB58" s="20"/>
      <c r="HC58" s="20"/>
      <c r="HD58" s="20"/>
      <c r="HE58" s="21"/>
      <c r="HM58" s="10"/>
      <c r="KQ58" s="11"/>
      <c r="KX58" s="22"/>
      <c r="KY58" s="23"/>
      <c r="KZ58" s="23"/>
      <c r="LA58" s="23"/>
      <c r="LB58" s="23"/>
      <c r="LC58" s="23"/>
      <c r="LD58" s="23"/>
      <c r="LE58" s="23"/>
      <c r="LF58" s="23"/>
      <c r="LG58" s="23"/>
      <c r="LH58" s="23"/>
      <c r="LI58" s="23"/>
      <c r="LJ58" s="23"/>
      <c r="LK58" s="23"/>
      <c r="LL58" s="24"/>
      <c r="LP58" s="11"/>
    </row>
    <row r="59" spans="2:328" ht="15" customHeight="1" x14ac:dyDescent="0.25">
      <c r="B59" s="7"/>
      <c r="C59" s="8"/>
      <c r="D59" s="8"/>
      <c r="E59" s="8"/>
      <c r="F59" s="8"/>
      <c r="G59" s="8"/>
      <c r="H59" s="8"/>
      <c r="I59" s="8"/>
      <c r="J59" s="9"/>
      <c r="O59" s="10"/>
      <c r="CZ59" s="11"/>
      <c r="DA59" s="19"/>
      <c r="DB59" s="20"/>
      <c r="DC59" s="20"/>
      <c r="DD59" s="20"/>
      <c r="DE59" s="20"/>
      <c r="DF59" s="20"/>
      <c r="DG59" s="20"/>
      <c r="DH59" s="21"/>
      <c r="DO59" s="10"/>
      <c r="GT59" s="11"/>
      <c r="GX59" s="19"/>
      <c r="GY59" s="20"/>
      <c r="GZ59" s="20"/>
      <c r="HA59" s="20"/>
      <c r="HB59" s="20"/>
      <c r="HC59" s="20"/>
      <c r="HD59" s="20"/>
      <c r="HE59" s="21"/>
      <c r="HM59" s="10"/>
      <c r="KQ59" s="11"/>
      <c r="KX59" s="22"/>
      <c r="KY59" s="23"/>
      <c r="KZ59" s="23"/>
      <c r="LA59" s="23"/>
      <c r="LB59" s="23"/>
      <c r="LC59" s="23"/>
      <c r="LD59" s="23"/>
      <c r="LE59" s="23"/>
      <c r="LF59" s="23"/>
      <c r="LG59" s="23"/>
      <c r="LH59" s="23"/>
      <c r="LI59" s="23"/>
      <c r="LJ59" s="23"/>
      <c r="LK59" s="23"/>
      <c r="LL59" s="24"/>
      <c r="LP59" s="11"/>
    </row>
    <row r="60" spans="2:328" ht="15" customHeight="1" x14ac:dyDescent="0.25">
      <c r="B60" s="7"/>
      <c r="C60" s="8"/>
      <c r="D60" s="8"/>
      <c r="E60" s="8"/>
      <c r="F60" s="8"/>
      <c r="G60" s="8"/>
      <c r="H60" s="8"/>
      <c r="I60" s="8"/>
      <c r="J60" s="9"/>
      <c r="O60" s="30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31"/>
      <c r="DA60" s="35"/>
      <c r="DB60" s="36"/>
      <c r="DC60" s="36"/>
      <c r="DD60" s="36"/>
      <c r="DE60" s="36"/>
      <c r="DF60" s="36"/>
      <c r="DG60" s="36"/>
      <c r="DH60" s="37"/>
      <c r="DO60" s="30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31"/>
      <c r="GX60" s="35"/>
      <c r="GY60" s="36"/>
      <c r="GZ60" s="36"/>
      <c r="HA60" s="36"/>
      <c r="HB60" s="36"/>
      <c r="HC60" s="36"/>
      <c r="HD60" s="36"/>
      <c r="HE60" s="37"/>
      <c r="HM60" s="30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  <c r="JX60" s="12"/>
      <c r="JY60" s="12"/>
      <c r="JZ60" s="12"/>
      <c r="KA60" s="12"/>
      <c r="KB60" s="12"/>
      <c r="KC60" s="12"/>
      <c r="KD60" s="12"/>
      <c r="KE60" s="12"/>
      <c r="KF60" s="12"/>
      <c r="KG60" s="12"/>
      <c r="KH60" s="12"/>
      <c r="KI60" s="12"/>
      <c r="KJ60" s="12"/>
      <c r="KK60" s="12"/>
      <c r="KL60" s="12"/>
      <c r="KM60" s="12"/>
      <c r="KN60" s="12"/>
      <c r="KO60" s="12"/>
      <c r="KP60" s="12"/>
      <c r="KQ60" s="31"/>
      <c r="KX60" s="41"/>
      <c r="KY60" s="42"/>
      <c r="KZ60" s="42"/>
      <c r="LA60" s="42"/>
      <c r="LB60" s="42"/>
      <c r="LC60" s="42"/>
      <c r="LD60" s="42"/>
      <c r="LE60" s="42"/>
      <c r="LF60" s="42"/>
      <c r="LG60" s="42"/>
      <c r="LH60" s="42"/>
      <c r="LI60" s="42"/>
      <c r="LJ60" s="42"/>
      <c r="LK60" s="42"/>
      <c r="LL60" s="43"/>
      <c r="LP60" s="11"/>
    </row>
    <row r="61" spans="2:328" x14ac:dyDescent="0.25">
      <c r="B61" s="7"/>
      <c r="C61" s="8"/>
      <c r="D61" s="8"/>
      <c r="E61" s="8"/>
      <c r="F61" s="8"/>
      <c r="G61" s="8"/>
      <c r="H61" s="8"/>
      <c r="I61" s="8"/>
      <c r="J61" s="9"/>
      <c r="LP61" s="11"/>
    </row>
    <row r="62" spans="2:328" x14ac:dyDescent="0.25">
      <c r="B62" s="46"/>
      <c r="C62" s="47"/>
      <c r="D62" s="47"/>
      <c r="E62" s="47"/>
      <c r="F62" s="47"/>
      <c r="G62" s="47"/>
      <c r="H62" s="47"/>
      <c r="I62" s="47"/>
      <c r="J62" s="48"/>
      <c r="BT62" s="49"/>
      <c r="BU62" s="49"/>
      <c r="BV62" s="49"/>
      <c r="BW62" s="49"/>
      <c r="BX62" s="49"/>
      <c r="BY62" s="49"/>
      <c r="BZ62" s="49"/>
      <c r="LP62" s="11"/>
    </row>
    <row r="63" spans="2:328" x14ac:dyDescent="0.25">
      <c r="B63" s="46"/>
      <c r="C63" s="47"/>
      <c r="D63" s="47"/>
      <c r="E63" s="47"/>
      <c r="F63" s="47"/>
      <c r="G63" s="47"/>
      <c r="H63" s="47"/>
      <c r="I63" s="47"/>
      <c r="J63" s="48"/>
      <c r="BF63" t="s">
        <v>17</v>
      </c>
      <c r="BT63" s="49"/>
      <c r="BU63" s="49"/>
      <c r="BV63" s="49"/>
      <c r="BW63" s="49"/>
      <c r="BX63" s="49"/>
      <c r="BY63" s="49"/>
      <c r="BZ63" s="49"/>
      <c r="FB63" t="s">
        <v>18</v>
      </c>
      <c r="IV63" t="s">
        <v>19</v>
      </c>
      <c r="LP63" s="11"/>
    </row>
    <row r="64" spans="2:328" x14ac:dyDescent="0.25">
      <c r="B64" s="46"/>
      <c r="C64" s="47"/>
      <c r="D64" s="47"/>
      <c r="E64" s="47"/>
      <c r="F64" s="47"/>
      <c r="G64" s="47"/>
      <c r="H64" s="47"/>
      <c r="I64" s="47"/>
      <c r="J64" s="48"/>
      <c r="LP64" s="11"/>
    </row>
    <row r="65" spans="2:328" x14ac:dyDescent="0.25">
      <c r="B65" s="50"/>
      <c r="C65" s="51"/>
      <c r="D65" s="51"/>
      <c r="E65" s="51"/>
      <c r="F65" s="51"/>
      <c r="G65" s="51"/>
      <c r="H65" s="51"/>
      <c r="I65" s="51"/>
      <c r="J65" s="5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/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/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/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31"/>
    </row>
    <row r="92" spans="3:328" x14ac:dyDescent="0.25">
      <c r="C92" s="2"/>
      <c r="D92" s="2"/>
      <c r="E92" s="2"/>
      <c r="F92" s="2"/>
      <c r="G92" s="2"/>
      <c r="H92" s="2"/>
      <c r="I92" s="2"/>
      <c r="J92" s="3"/>
      <c r="K92" s="4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6"/>
    </row>
    <row r="93" spans="3:328" x14ac:dyDescent="0.25">
      <c r="C93" s="8"/>
      <c r="D93" s="8"/>
      <c r="E93" s="8"/>
      <c r="F93" s="8"/>
      <c r="G93" s="8"/>
      <c r="H93" s="8"/>
      <c r="I93" s="8"/>
      <c r="J93" s="9"/>
      <c r="K93" s="10"/>
      <c r="LP93" s="11"/>
    </row>
    <row r="94" spans="3:328" x14ac:dyDescent="0.25">
      <c r="C94" s="8"/>
      <c r="D94" s="8"/>
      <c r="E94" s="8"/>
      <c r="F94" s="8"/>
      <c r="G94" s="8"/>
      <c r="H94" s="8"/>
      <c r="I94" s="8"/>
      <c r="J94" s="9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LP94" s="11"/>
    </row>
    <row r="95" spans="3:328" x14ac:dyDescent="0.25">
      <c r="C95" s="8"/>
      <c r="D95" s="8"/>
      <c r="E95" s="8"/>
      <c r="F95" s="8"/>
      <c r="G95" s="8"/>
      <c r="H95" s="8"/>
      <c r="I95" s="8"/>
      <c r="J95" s="9"/>
      <c r="O95" s="4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6"/>
      <c r="DO95" s="4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3"/>
      <c r="GV95" s="5"/>
      <c r="GW95" s="5"/>
      <c r="GX95" s="5"/>
      <c r="GY95" s="5"/>
      <c r="GZ95" s="5"/>
      <c r="HA95" s="5"/>
      <c r="HB95" s="5"/>
      <c r="HC95" s="5"/>
      <c r="HD95" s="5"/>
      <c r="HE95" s="6"/>
      <c r="HM95" s="4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6"/>
      <c r="KX95" s="54"/>
      <c r="KY95" s="55"/>
      <c r="KZ95" s="55"/>
      <c r="LA95" s="55"/>
      <c r="LB95" s="55"/>
      <c r="LC95" s="55"/>
      <c r="LD95" s="55"/>
      <c r="LE95" s="55"/>
      <c r="LF95" s="55"/>
      <c r="LG95" s="55"/>
      <c r="LH95" s="55"/>
      <c r="LI95" s="55"/>
      <c r="LJ95" s="55"/>
      <c r="LK95" s="55"/>
      <c r="LL95" s="56"/>
      <c r="LP95" s="11"/>
    </row>
    <row r="96" spans="3:328" x14ac:dyDescent="0.25">
      <c r="C96" s="8"/>
      <c r="D96" s="8"/>
      <c r="E96" s="8"/>
      <c r="F96" s="8"/>
      <c r="G96" s="8"/>
      <c r="H96" s="8"/>
      <c r="I96" s="8"/>
      <c r="J96" s="9"/>
      <c r="O96" s="10"/>
      <c r="P96" s="57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9"/>
      <c r="BB96" s="4"/>
      <c r="BC96" s="5"/>
      <c r="BD96" s="5"/>
      <c r="BE96" s="5"/>
      <c r="BF96" s="5"/>
      <c r="BG96" s="5"/>
      <c r="BH96" s="5"/>
      <c r="BI96" s="5"/>
      <c r="BJ96" s="5"/>
      <c r="BK96" s="6"/>
      <c r="BN96" s="4"/>
      <c r="BO96" s="5"/>
      <c r="BP96" s="5"/>
      <c r="BQ96" s="5"/>
      <c r="BR96" s="5"/>
      <c r="BS96" s="5"/>
      <c r="BT96" s="5"/>
      <c r="BU96" s="5"/>
      <c r="BV96" s="5"/>
      <c r="BW96" s="6"/>
      <c r="BZ96" s="4"/>
      <c r="CA96" s="5"/>
      <c r="CB96" s="5"/>
      <c r="CC96" s="5"/>
      <c r="CD96" s="5"/>
      <c r="CE96" s="5"/>
      <c r="CF96" s="5"/>
      <c r="CG96" s="5"/>
      <c r="CH96" s="5"/>
      <c r="CI96" s="6"/>
      <c r="CL96" s="4"/>
      <c r="CM96" s="5"/>
      <c r="CN96" s="5"/>
      <c r="CO96" s="5"/>
      <c r="CP96" s="5"/>
      <c r="CQ96" s="5"/>
      <c r="CR96" s="5"/>
      <c r="CS96" s="5"/>
      <c r="CT96" s="5"/>
      <c r="CU96" s="6"/>
      <c r="CX96" s="4"/>
      <c r="CY96" s="5"/>
      <c r="CZ96" s="5"/>
      <c r="DA96" s="5"/>
      <c r="DB96" s="5"/>
      <c r="DC96" s="5"/>
      <c r="DD96" s="5"/>
      <c r="DE96" s="5"/>
      <c r="DF96" s="5"/>
      <c r="DG96" s="6"/>
      <c r="DH96" s="11"/>
      <c r="DO96" s="10"/>
      <c r="DP96" s="1"/>
      <c r="DQ96" s="2"/>
      <c r="DR96" s="2"/>
      <c r="DS96" s="2"/>
      <c r="DT96" s="2"/>
      <c r="DU96" s="2"/>
      <c r="DV96" s="2"/>
      <c r="DW96" s="2"/>
      <c r="DX96" s="2"/>
      <c r="DY96" s="3"/>
      <c r="EB96" s="4"/>
      <c r="EC96" s="5"/>
      <c r="ED96" s="5"/>
      <c r="EE96" s="5"/>
      <c r="EF96" s="5"/>
      <c r="EG96" s="5"/>
      <c r="EH96" s="5"/>
      <c r="EI96" s="5"/>
      <c r="EJ96" s="5"/>
      <c r="EK96" s="6"/>
      <c r="EN96" s="4"/>
      <c r="EO96" s="5"/>
      <c r="EP96" s="5"/>
      <c r="EQ96" s="5"/>
      <c r="ER96" s="5"/>
      <c r="ES96" s="5"/>
      <c r="ET96" s="5"/>
      <c r="EU96" s="5"/>
      <c r="EV96" s="5"/>
      <c r="EW96" s="6"/>
      <c r="EZ96" s="4"/>
      <c r="FA96" s="5"/>
      <c r="FB96" s="5"/>
      <c r="FC96" s="5"/>
      <c r="FD96" s="5"/>
      <c r="FE96" s="5"/>
      <c r="FF96" s="5"/>
      <c r="FG96" s="5"/>
      <c r="FH96" s="5"/>
      <c r="FI96" s="6"/>
      <c r="FL96" s="4"/>
      <c r="FM96" s="5"/>
      <c r="FN96" s="5"/>
      <c r="FO96" s="5"/>
      <c r="FP96" s="5"/>
      <c r="FQ96" s="5"/>
      <c r="FR96" s="5"/>
      <c r="FS96" s="5"/>
      <c r="FT96" s="5"/>
      <c r="FU96" s="6"/>
      <c r="FX96" s="4"/>
      <c r="FY96" s="5"/>
      <c r="FZ96" s="5"/>
      <c r="GA96" s="5"/>
      <c r="GB96" s="5"/>
      <c r="GC96" s="5"/>
      <c r="GD96" s="5"/>
      <c r="GE96" s="5"/>
      <c r="GF96" s="5"/>
      <c r="GG96" s="6"/>
      <c r="GI96" s="4"/>
      <c r="GJ96" s="5"/>
      <c r="GK96" s="5"/>
      <c r="GL96" s="5"/>
      <c r="GM96" s="5"/>
      <c r="GN96" s="5"/>
      <c r="GO96" s="5"/>
      <c r="GP96" s="5"/>
      <c r="GQ96" s="5"/>
      <c r="GR96" s="6"/>
      <c r="GT96" s="11"/>
      <c r="GU96" s="4"/>
      <c r="GV96" s="5"/>
      <c r="GW96" s="5"/>
      <c r="GX96" s="5"/>
      <c r="GY96" s="5"/>
      <c r="GZ96" s="5"/>
      <c r="HA96" s="5"/>
      <c r="HB96" s="5"/>
      <c r="HC96" s="5"/>
      <c r="HD96" s="6"/>
      <c r="HE96" s="44"/>
      <c r="HM96" s="10"/>
      <c r="KQ96" s="11"/>
      <c r="KX96" s="63"/>
      <c r="KY96" s="64"/>
      <c r="KZ96" s="64"/>
      <c r="LA96" s="64"/>
      <c r="LB96" s="64"/>
      <c r="LC96" s="64"/>
      <c r="LD96" s="64"/>
      <c r="LE96" s="64"/>
      <c r="LF96" s="64"/>
      <c r="LG96" s="64"/>
      <c r="LH96" s="64"/>
      <c r="LI96" s="64"/>
      <c r="LJ96" s="64"/>
      <c r="LK96" s="64"/>
      <c r="LL96" s="65"/>
      <c r="LP96" s="11"/>
    </row>
    <row r="97" spans="3:328" x14ac:dyDescent="0.25">
      <c r="C97" s="8"/>
      <c r="D97" s="8"/>
      <c r="E97" s="8"/>
      <c r="F97" s="8"/>
      <c r="G97" s="8"/>
      <c r="H97" s="8"/>
      <c r="I97" s="8"/>
      <c r="J97" s="9"/>
      <c r="O97" s="10"/>
      <c r="P97" s="46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8"/>
      <c r="BB97" s="10"/>
      <c r="BC97" s="139" t="s">
        <v>0</v>
      </c>
      <c r="BD97" s="139"/>
      <c r="BE97" s="139"/>
      <c r="BH97" s="139" t="s">
        <v>0</v>
      </c>
      <c r="BI97" s="139"/>
      <c r="BJ97" s="139"/>
      <c r="BK97" s="11"/>
      <c r="BN97" s="10"/>
      <c r="BO97" s="139" t="s">
        <v>0</v>
      </c>
      <c r="BP97" s="139"/>
      <c r="BQ97" s="139"/>
      <c r="BT97" s="139" t="s">
        <v>0</v>
      </c>
      <c r="BU97" s="139"/>
      <c r="BV97" s="139"/>
      <c r="BW97" s="11"/>
      <c r="BZ97" s="10"/>
      <c r="CA97" s="139" t="s">
        <v>0</v>
      </c>
      <c r="CB97" s="139"/>
      <c r="CC97" s="139"/>
      <c r="CF97" s="139" t="s">
        <v>0</v>
      </c>
      <c r="CG97" s="139"/>
      <c r="CH97" s="139"/>
      <c r="CI97" s="11"/>
      <c r="CL97" s="10"/>
      <c r="CM97" s="139" t="s">
        <v>0</v>
      </c>
      <c r="CN97" s="139"/>
      <c r="CO97" s="139"/>
      <c r="CR97" s="139" t="s">
        <v>0</v>
      </c>
      <c r="CS97" s="139"/>
      <c r="CT97" s="139"/>
      <c r="CU97" s="11"/>
      <c r="CX97" s="10"/>
      <c r="CY97" s="139" t="s">
        <v>0</v>
      </c>
      <c r="CZ97" s="139"/>
      <c r="DA97" s="139"/>
      <c r="DD97" s="139" t="s">
        <v>0</v>
      </c>
      <c r="DE97" s="139"/>
      <c r="DF97" s="139"/>
      <c r="DG97" s="11"/>
      <c r="DH97" s="11"/>
      <c r="DO97" s="10"/>
      <c r="DP97" s="7"/>
      <c r="DQ97" s="8"/>
      <c r="DR97" s="8"/>
      <c r="DS97" s="8"/>
      <c r="DT97" s="8"/>
      <c r="DU97" s="8"/>
      <c r="DV97" s="8"/>
      <c r="DW97" s="8"/>
      <c r="DX97" s="8"/>
      <c r="DY97" s="9"/>
      <c r="EB97" s="10"/>
      <c r="EC97" s="139"/>
      <c r="ED97" s="139"/>
      <c r="EE97" s="139"/>
      <c r="EH97" s="139"/>
      <c r="EI97" s="139"/>
      <c r="EJ97" s="139"/>
      <c r="EK97" s="11"/>
      <c r="EN97" s="10"/>
      <c r="EO97" s="139"/>
      <c r="EP97" s="139"/>
      <c r="EQ97" s="139"/>
      <c r="ET97" s="139"/>
      <c r="EU97" s="139"/>
      <c r="EV97" s="139"/>
      <c r="EW97" s="11"/>
      <c r="EZ97" s="10"/>
      <c r="FA97" s="139"/>
      <c r="FB97" s="139"/>
      <c r="FC97" s="139"/>
      <c r="FF97" s="139"/>
      <c r="FG97" s="139"/>
      <c r="FH97" s="139"/>
      <c r="FI97" s="11"/>
      <c r="FL97" s="10"/>
      <c r="FM97" s="139" t="s">
        <v>0</v>
      </c>
      <c r="FN97" s="139"/>
      <c r="FO97" s="139"/>
      <c r="FR97" s="139" t="s">
        <v>0</v>
      </c>
      <c r="FS97" s="139"/>
      <c r="FT97" s="139"/>
      <c r="FU97" s="11"/>
      <c r="FX97" s="10"/>
      <c r="FY97" s="139" t="s">
        <v>0</v>
      </c>
      <c r="FZ97" s="139"/>
      <c r="GA97" s="139"/>
      <c r="GD97" s="139" t="s">
        <v>0</v>
      </c>
      <c r="GE97" s="139"/>
      <c r="GF97" s="139"/>
      <c r="GG97" s="11"/>
      <c r="GI97" s="10"/>
      <c r="GJ97" s="139" t="s">
        <v>0</v>
      </c>
      <c r="GK97" s="139"/>
      <c r="GL97" s="139"/>
      <c r="GO97" s="139" t="s">
        <v>0</v>
      </c>
      <c r="GP97" s="139"/>
      <c r="GQ97" s="139"/>
      <c r="GR97" s="11"/>
      <c r="GT97" s="11"/>
      <c r="GU97" s="10"/>
      <c r="GV97" s="139" t="s">
        <v>0</v>
      </c>
      <c r="GW97" s="139"/>
      <c r="GX97" s="139"/>
      <c r="HA97" s="139" t="s">
        <v>0</v>
      </c>
      <c r="HB97" s="139"/>
      <c r="HC97" s="139"/>
      <c r="HD97" s="11"/>
      <c r="HE97" s="44"/>
      <c r="HM97" s="10"/>
      <c r="KQ97" s="11"/>
      <c r="KX97" s="63"/>
      <c r="KY97" s="64"/>
      <c r="KZ97" s="64"/>
      <c r="LA97" s="64"/>
      <c r="LB97" s="64"/>
      <c r="LC97" s="64"/>
      <c r="LD97" s="64"/>
      <c r="LE97" s="64"/>
      <c r="LF97" s="64"/>
      <c r="LG97" s="64"/>
      <c r="LH97" s="64"/>
      <c r="LI97" s="64"/>
      <c r="LJ97" s="64"/>
      <c r="LK97" s="64"/>
      <c r="LL97" s="65"/>
      <c r="LP97" s="11"/>
    </row>
    <row r="98" spans="3:328" x14ac:dyDescent="0.25">
      <c r="C98" s="8"/>
      <c r="D98" s="8"/>
      <c r="E98" s="8"/>
      <c r="F98" s="8"/>
      <c r="G98" s="8"/>
      <c r="H98" s="8"/>
      <c r="I98" s="8"/>
      <c r="J98" s="9"/>
      <c r="O98" s="10"/>
      <c r="P98" s="46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8"/>
      <c r="BB98" s="10"/>
      <c r="BC98" s="140">
        <v>219</v>
      </c>
      <c r="BD98" s="140"/>
      <c r="BE98" s="140"/>
      <c r="BH98" s="140">
        <v>220</v>
      </c>
      <c r="BI98" s="140"/>
      <c r="BJ98" s="140"/>
      <c r="BK98" s="11"/>
      <c r="BN98" s="10"/>
      <c r="BO98" s="140">
        <v>221</v>
      </c>
      <c r="BP98" s="140"/>
      <c r="BQ98" s="140"/>
      <c r="BT98" s="140">
        <v>222</v>
      </c>
      <c r="BU98" s="140"/>
      <c r="BV98" s="140"/>
      <c r="BW98" s="11"/>
      <c r="BZ98" s="10"/>
      <c r="CA98" s="140">
        <v>223</v>
      </c>
      <c r="CB98" s="140"/>
      <c r="CC98" s="140"/>
      <c r="CF98" s="140">
        <v>224</v>
      </c>
      <c r="CG98" s="140"/>
      <c r="CH98" s="140"/>
      <c r="CI98" s="11"/>
      <c r="CL98" s="10"/>
      <c r="CM98" s="140">
        <v>225</v>
      </c>
      <c r="CN98" s="140"/>
      <c r="CO98" s="140"/>
      <c r="CR98" s="140">
        <v>226</v>
      </c>
      <c r="CS98" s="140"/>
      <c r="CT98" s="140"/>
      <c r="CU98" s="11"/>
      <c r="CX98" s="10"/>
      <c r="CY98" s="140">
        <v>227</v>
      </c>
      <c r="CZ98" s="140"/>
      <c r="DA98" s="140"/>
      <c r="DD98" s="140">
        <v>0</v>
      </c>
      <c r="DE98" s="140"/>
      <c r="DF98" s="140"/>
      <c r="DG98" s="11"/>
      <c r="DH98" s="11"/>
      <c r="DO98" s="10"/>
      <c r="DP98" s="7"/>
      <c r="DQ98" s="8"/>
      <c r="DR98" s="8"/>
      <c r="DS98" s="8"/>
      <c r="DT98" s="8"/>
      <c r="DU98" s="8"/>
      <c r="DV98" s="8"/>
      <c r="DW98" s="8"/>
      <c r="DX98" s="8"/>
      <c r="DY98" s="9"/>
      <c r="EB98" s="10"/>
      <c r="EC98" s="139"/>
      <c r="ED98" s="139"/>
      <c r="EE98" s="139"/>
      <c r="EH98" s="139"/>
      <c r="EI98" s="139"/>
      <c r="EJ98" s="139"/>
      <c r="EK98" s="11"/>
      <c r="EN98" s="10"/>
      <c r="EO98" s="139"/>
      <c r="EP98" s="139"/>
      <c r="EQ98" s="139"/>
      <c r="ET98" s="139"/>
      <c r="EU98" s="139"/>
      <c r="EV98" s="139"/>
      <c r="EW98" s="11"/>
      <c r="EZ98" s="10"/>
      <c r="FA98" s="139"/>
      <c r="FB98" s="139"/>
      <c r="FC98" s="139"/>
      <c r="FF98" s="139"/>
      <c r="FG98" s="139"/>
      <c r="FH98" s="139"/>
      <c r="FI98" s="11"/>
      <c r="FL98" s="10"/>
      <c r="FM98" s="139"/>
      <c r="FN98" s="139"/>
      <c r="FO98" s="139"/>
      <c r="FR98" s="139">
        <v>0</v>
      </c>
      <c r="FS98" s="139"/>
      <c r="FT98" s="139"/>
      <c r="FU98" s="11"/>
      <c r="FX98" s="10"/>
      <c r="FY98" s="139">
        <v>239</v>
      </c>
      <c r="FZ98" s="139"/>
      <c r="GA98" s="139"/>
      <c r="GD98" s="139">
        <v>237</v>
      </c>
      <c r="GE98" s="139"/>
      <c r="GF98" s="139"/>
      <c r="GG98" s="11"/>
      <c r="GI98" s="10"/>
      <c r="GJ98" s="139">
        <v>238</v>
      </c>
      <c r="GK98" s="139"/>
      <c r="GL98" s="139"/>
      <c r="GO98" s="140">
        <v>236</v>
      </c>
      <c r="GP98" s="140"/>
      <c r="GQ98" s="140"/>
      <c r="GR98" s="11"/>
      <c r="GT98" s="11"/>
      <c r="GU98" s="10"/>
      <c r="GV98" s="140">
        <v>240</v>
      </c>
      <c r="GW98" s="140"/>
      <c r="GX98" s="140"/>
      <c r="HA98" s="140">
        <v>241</v>
      </c>
      <c r="HB98" s="140"/>
      <c r="HC98" s="140"/>
      <c r="HD98" s="11"/>
      <c r="HE98" s="44"/>
      <c r="HM98" s="10"/>
      <c r="KQ98" s="11"/>
      <c r="KX98" s="63"/>
      <c r="KY98" s="64"/>
      <c r="KZ98" s="64"/>
      <c r="LA98" s="64"/>
      <c r="LB98" s="64"/>
      <c r="LC98" s="64"/>
      <c r="LD98" s="64"/>
      <c r="LE98" s="64"/>
      <c r="LF98" s="64"/>
      <c r="LG98" s="64"/>
      <c r="LH98" s="64"/>
      <c r="LI98" s="64"/>
      <c r="LJ98" s="64"/>
      <c r="LK98" s="64"/>
      <c r="LL98" s="65"/>
      <c r="LP98" s="11"/>
    </row>
    <row r="99" spans="3:328" x14ac:dyDescent="0.25">
      <c r="C99" s="8"/>
      <c r="D99" s="8"/>
      <c r="E99" s="8"/>
      <c r="F99" s="8"/>
      <c r="G99" s="8"/>
      <c r="H99" s="8"/>
      <c r="I99" s="8"/>
      <c r="J99" s="9"/>
      <c r="O99" s="10"/>
      <c r="P99" s="46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8"/>
      <c r="BB99" s="10"/>
      <c r="BK99" s="11"/>
      <c r="BN99" s="10"/>
      <c r="BW99" s="11"/>
      <c r="BZ99" s="10"/>
      <c r="CI99" s="11"/>
      <c r="CL99" s="10"/>
      <c r="CU99" s="11"/>
      <c r="CX99" s="10"/>
      <c r="DG99" s="11"/>
      <c r="DH99" s="11"/>
      <c r="DO99" s="10"/>
      <c r="DP99" s="7"/>
      <c r="DQ99" s="8"/>
      <c r="DR99" s="8"/>
      <c r="DS99" s="8"/>
      <c r="DT99" s="8"/>
      <c r="DU99" s="8"/>
      <c r="DV99" s="8"/>
      <c r="DW99" s="8"/>
      <c r="DX99" s="8"/>
      <c r="DY99" s="9"/>
      <c r="EB99" s="10"/>
      <c r="EK99" s="11"/>
      <c r="EN99" s="10"/>
      <c r="EW99" s="11"/>
      <c r="EZ99" s="10"/>
      <c r="FI99" s="11"/>
      <c r="FL99" s="10"/>
      <c r="FU99" s="11"/>
      <c r="FX99" s="10"/>
      <c r="GG99" s="11"/>
      <c r="GI99" s="10"/>
      <c r="GR99" s="11"/>
      <c r="GT99" s="11"/>
      <c r="GU99" s="10"/>
      <c r="HD99" s="11"/>
      <c r="HE99" s="44"/>
      <c r="HM99" s="10"/>
      <c r="KQ99" s="11"/>
      <c r="KX99" s="63"/>
      <c r="KY99" s="64"/>
      <c r="KZ99" s="64"/>
      <c r="LA99" s="64"/>
      <c r="LB99" s="64"/>
      <c r="LC99" s="64"/>
      <c r="LD99" s="64"/>
      <c r="LE99" s="64"/>
      <c r="LF99" s="64"/>
      <c r="LG99" s="64"/>
      <c r="LH99" s="64"/>
      <c r="LI99" s="64"/>
      <c r="LJ99" s="64"/>
      <c r="LK99" s="64"/>
      <c r="LL99" s="65"/>
      <c r="LP99" s="11"/>
    </row>
    <row r="100" spans="3:328" x14ac:dyDescent="0.25">
      <c r="C100" s="8"/>
      <c r="D100" s="8"/>
      <c r="E100" s="8"/>
      <c r="F100" s="8"/>
      <c r="G100" s="8"/>
      <c r="H100" s="8"/>
      <c r="I100" s="8"/>
      <c r="J100" s="9"/>
      <c r="O100" s="10"/>
      <c r="P100" s="46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8"/>
      <c r="BB100" s="10"/>
      <c r="BK100" s="11"/>
      <c r="BN100" s="10"/>
      <c r="BW100" s="11"/>
      <c r="BZ100" s="10"/>
      <c r="CI100" s="11"/>
      <c r="CL100" s="10"/>
      <c r="CU100" s="11"/>
      <c r="CX100" s="10"/>
      <c r="DG100" s="11"/>
      <c r="DH100" s="11"/>
      <c r="DO100" s="10"/>
      <c r="DP100" s="7"/>
      <c r="DQ100" s="8"/>
      <c r="DR100" s="8"/>
      <c r="DS100" s="8"/>
      <c r="DT100" s="8"/>
      <c r="DU100" s="8"/>
      <c r="DV100" s="8"/>
      <c r="DW100" s="8"/>
      <c r="DX100" s="8"/>
      <c r="DY100" s="9"/>
      <c r="EB100" s="10"/>
      <c r="EK100" s="11"/>
      <c r="EN100" s="10"/>
      <c r="EW100" s="11"/>
      <c r="EZ100" s="10"/>
      <c r="FI100" s="11"/>
      <c r="FL100" s="10"/>
      <c r="FU100" s="11"/>
      <c r="FX100" s="10"/>
      <c r="GG100" s="11"/>
      <c r="GI100" s="10"/>
      <c r="GR100" s="11"/>
      <c r="GT100" s="11"/>
      <c r="GU100" s="10"/>
      <c r="HD100" s="11"/>
      <c r="HE100" s="44"/>
      <c r="HM100" s="10"/>
      <c r="KQ100" s="11"/>
      <c r="KX100" s="63"/>
      <c r="KY100" s="64"/>
      <c r="KZ100" s="64"/>
      <c r="LA100" s="64"/>
      <c r="LB100" s="64"/>
      <c r="LC100" s="64"/>
      <c r="LD100" s="64"/>
      <c r="LE100" s="64"/>
      <c r="LF100" s="64"/>
      <c r="LG100" s="64"/>
      <c r="LH100" s="64"/>
      <c r="LI100" s="64"/>
      <c r="LJ100" s="64"/>
      <c r="LK100" s="64"/>
      <c r="LL100" s="65"/>
      <c r="LP100" s="11"/>
    </row>
    <row r="101" spans="3:328" ht="15" customHeight="1" x14ac:dyDescent="0.25">
      <c r="C101" s="8"/>
      <c r="D101" s="8"/>
      <c r="E101" s="8"/>
      <c r="F101" s="8"/>
      <c r="G101" s="8"/>
      <c r="H101" s="8"/>
      <c r="I101" s="8"/>
      <c r="J101" s="9"/>
      <c r="O101" s="10"/>
      <c r="P101" s="46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8"/>
      <c r="BB101" s="10"/>
      <c r="BK101" s="11"/>
      <c r="BN101" s="10"/>
      <c r="BW101" s="11"/>
      <c r="BZ101" s="10"/>
      <c r="CI101" s="11"/>
      <c r="CL101" s="10"/>
      <c r="CU101" s="11"/>
      <c r="CX101" s="10"/>
      <c r="DD101" s="139">
        <v>228</v>
      </c>
      <c r="DE101" s="139"/>
      <c r="DF101" s="139"/>
      <c r="DG101" s="11"/>
      <c r="DH101" s="11"/>
      <c r="DO101" s="10"/>
      <c r="DP101" s="7"/>
      <c r="DQ101" s="8"/>
      <c r="DR101" s="8"/>
      <c r="DS101" s="8"/>
      <c r="DT101" s="8"/>
      <c r="DU101" s="8"/>
      <c r="DV101" s="8"/>
      <c r="DW101" s="8"/>
      <c r="DX101" s="8"/>
      <c r="DY101" s="9"/>
      <c r="EB101" s="10"/>
      <c r="EK101" s="11"/>
      <c r="EN101" s="10"/>
      <c r="EW101" s="11"/>
      <c r="EZ101" s="10"/>
      <c r="FI101" s="11"/>
      <c r="FL101" s="10"/>
      <c r="FU101" s="11"/>
      <c r="FX101" s="10"/>
      <c r="GG101" s="11"/>
      <c r="GI101" s="10"/>
      <c r="GR101" s="11"/>
      <c r="GT101" s="11"/>
      <c r="GU101" s="10"/>
      <c r="HD101" s="11"/>
      <c r="HE101" s="44"/>
      <c r="HM101" s="10"/>
      <c r="KK101" s="67"/>
      <c r="KL101" s="67"/>
      <c r="KM101" s="67"/>
      <c r="KN101" s="67"/>
      <c r="KO101" s="67"/>
      <c r="KP101" s="67"/>
      <c r="KQ101" s="11"/>
      <c r="KX101" s="63"/>
      <c r="KY101" s="64"/>
      <c r="KZ101" s="64"/>
      <c r="LA101" s="64"/>
      <c r="LB101" s="68"/>
      <c r="LC101" s="69"/>
      <c r="LD101" s="69"/>
      <c r="LE101" s="69"/>
      <c r="LF101" s="69"/>
      <c r="LG101" s="69"/>
      <c r="LH101" s="69"/>
      <c r="LI101" s="64"/>
      <c r="LJ101" s="64"/>
      <c r="LK101" s="64"/>
      <c r="LL101" s="65"/>
      <c r="LP101" s="11"/>
    </row>
    <row r="102" spans="3:328" ht="15" customHeight="1" x14ac:dyDescent="0.25">
      <c r="C102" s="8"/>
      <c r="D102" s="8"/>
      <c r="E102" s="8"/>
      <c r="F102" s="8"/>
      <c r="G102" s="8"/>
      <c r="H102" s="8"/>
      <c r="I102" s="8"/>
      <c r="J102" s="9"/>
      <c r="O102" s="10"/>
      <c r="P102" s="46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8"/>
      <c r="BB102" s="10"/>
      <c r="BK102" s="11"/>
      <c r="BN102" s="10"/>
      <c r="BW102" s="11"/>
      <c r="BZ102" s="10"/>
      <c r="CI102" s="11"/>
      <c r="CL102" s="10"/>
      <c r="CU102" s="11"/>
      <c r="CX102" s="10"/>
      <c r="DG102" s="11"/>
      <c r="DH102" s="11"/>
      <c r="DO102" s="10"/>
      <c r="DP102" s="7"/>
      <c r="DQ102" s="8"/>
      <c r="DR102" s="8"/>
      <c r="DS102" s="8"/>
      <c r="DT102" s="8"/>
      <c r="DU102" s="8"/>
      <c r="DV102" s="8"/>
      <c r="DW102" s="8"/>
      <c r="DX102" s="8"/>
      <c r="DY102" s="9"/>
      <c r="EB102" s="10"/>
      <c r="EK102" s="11"/>
      <c r="EN102" s="10"/>
      <c r="EW102" s="11"/>
      <c r="EZ102" s="10"/>
      <c r="FI102" s="11"/>
      <c r="FL102" s="10"/>
      <c r="FU102" s="11"/>
      <c r="FX102" s="10"/>
      <c r="GG102" s="11"/>
      <c r="GI102" s="10"/>
      <c r="GR102" s="11"/>
      <c r="GT102" s="11"/>
      <c r="GU102" s="10"/>
      <c r="HD102" s="11"/>
      <c r="HE102" s="44"/>
      <c r="HM102" s="10"/>
      <c r="KK102" s="67"/>
      <c r="KL102" s="67"/>
      <c r="KM102" s="67"/>
      <c r="KN102" s="67"/>
      <c r="KO102" s="67"/>
      <c r="KP102" s="67"/>
      <c r="KQ102" s="11"/>
      <c r="KX102" s="63"/>
      <c r="KY102" s="64"/>
      <c r="KZ102" s="64"/>
      <c r="LA102" s="64"/>
      <c r="LB102" s="69"/>
      <c r="LC102" s="69"/>
      <c r="LD102" s="69"/>
      <c r="LE102" s="69"/>
      <c r="LF102" s="69"/>
      <c r="LG102" s="69"/>
      <c r="LH102" s="69"/>
      <c r="LI102" s="64"/>
      <c r="LJ102" s="64"/>
      <c r="LK102" s="64"/>
      <c r="LL102" s="65"/>
      <c r="LP102" s="11"/>
    </row>
    <row r="103" spans="3:328" ht="15" customHeight="1" x14ac:dyDescent="0.25">
      <c r="C103" s="8"/>
      <c r="D103" s="8"/>
      <c r="E103" s="8"/>
      <c r="F103" s="8"/>
      <c r="G103" s="8"/>
      <c r="H103" s="8"/>
      <c r="I103" s="8"/>
      <c r="J103" s="9"/>
      <c r="O103" s="10"/>
      <c r="P103" s="46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8"/>
      <c r="BB103" s="10"/>
      <c r="BK103" s="11"/>
      <c r="BN103" s="10"/>
      <c r="BW103" s="11"/>
      <c r="BZ103" s="10"/>
      <c r="CI103" s="11"/>
      <c r="CL103" s="10"/>
      <c r="CU103" s="11"/>
      <c r="CX103" s="10"/>
      <c r="DG103" s="11"/>
      <c r="DH103" s="11"/>
      <c r="DO103" s="10"/>
      <c r="DP103" s="7"/>
      <c r="DQ103" s="8"/>
      <c r="DR103" s="8"/>
      <c r="DS103" s="8"/>
      <c r="DT103" s="8"/>
      <c r="DU103" s="8"/>
      <c r="DV103" s="8"/>
      <c r="DW103" s="8"/>
      <c r="DX103" s="8"/>
      <c r="DY103" s="9"/>
      <c r="EB103" s="10"/>
      <c r="EK103" s="11"/>
      <c r="EN103" s="10"/>
      <c r="EW103" s="11"/>
      <c r="EZ103" s="10"/>
      <c r="FI103" s="11"/>
      <c r="FL103" s="10"/>
      <c r="FU103" s="11"/>
      <c r="FX103" s="10"/>
      <c r="GG103" s="11"/>
      <c r="GI103" s="10"/>
      <c r="GR103" s="11"/>
      <c r="GT103" s="11"/>
      <c r="GU103" s="10"/>
      <c r="HD103" s="11"/>
      <c r="HE103" s="44"/>
      <c r="HM103" s="10"/>
      <c r="KK103" s="67"/>
      <c r="KL103" s="67"/>
      <c r="KM103" s="67"/>
      <c r="KN103" s="67"/>
      <c r="KO103" s="67"/>
      <c r="KP103" s="67"/>
      <c r="KQ103" s="11"/>
      <c r="KX103" s="63"/>
      <c r="KY103" s="64"/>
      <c r="KZ103" s="64"/>
      <c r="LA103" s="64"/>
      <c r="LB103" s="69"/>
      <c r="LC103" s="69"/>
      <c r="LD103" s="69"/>
      <c r="LE103" s="69"/>
      <c r="LF103" s="69"/>
      <c r="LG103" s="69"/>
      <c r="LH103" s="69"/>
      <c r="LI103" s="64"/>
      <c r="LJ103" s="64"/>
      <c r="LK103" s="64"/>
      <c r="LL103" s="65"/>
      <c r="LP103" s="11"/>
    </row>
    <row r="104" spans="3:328" ht="15" customHeight="1" x14ac:dyDescent="0.25">
      <c r="C104" s="8"/>
      <c r="D104" s="8"/>
      <c r="E104" s="8"/>
      <c r="F104" s="8"/>
      <c r="G104" s="8"/>
      <c r="H104" s="8"/>
      <c r="I104" s="8"/>
      <c r="J104" s="9"/>
      <c r="O104" s="10"/>
      <c r="P104" s="46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8"/>
      <c r="BB104" s="10"/>
      <c r="BK104" s="11"/>
      <c r="BN104" s="10"/>
      <c r="BW104" s="11"/>
      <c r="BZ104" s="10"/>
      <c r="CI104" s="11"/>
      <c r="CL104" s="10"/>
      <c r="CU104" s="11"/>
      <c r="CX104" s="10"/>
      <c r="DG104" s="11"/>
      <c r="DH104" s="11"/>
      <c r="DO104" s="10"/>
      <c r="DP104" s="7"/>
      <c r="DQ104" s="8"/>
      <c r="DR104" s="8"/>
      <c r="DS104" s="8"/>
      <c r="DT104" s="8"/>
      <c r="DU104" s="8"/>
      <c r="DV104" s="8"/>
      <c r="DW104" s="8"/>
      <c r="DX104" s="8"/>
      <c r="DY104" s="9"/>
      <c r="EB104" s="10"/>
      <c r="EK104" s="11"/>
      <c r="EN104" s="10"/>
      <c r="EW104" s="11"/>
      <c r="EZ104" s="10"/>
      <c r="FI104" s="11"/>
      <c r="FL104" s="10"/>
      <c r="FU104" s="11"/>
      <c r="FX104" s="10"/>
      <c r="GG104" s="11"/>
      <c r="GI104" s="10"/>
      <c r="GR104" s="11"/>
      <c r="GT104" s="11"/>
      <c r="GU104" s="10"/>
      <c r="HD104" s="11"/>
      <c r="HE104" s="44"/>
      <c r="HM104" s="10"/>
      <c r="KK104" s="67"/>
      <c r="KL104" s="67"/>
      <c r="KM104" s="67"/>
      <c r="KN104" s="67"/>
      <c r="KO104" s="67"/>
      <c r="KP104" s="67"/>
      <c r="KQ104" s="11"/>
      <c r="KX104" s="63"/>
      <c r="KY104" s="64"/>
      <c r="KZ104" s="64"/>
      <c r="LA104" s="64"/>
      <c r="LB104" s="69"/>
      <c r="LC104" s="69"/>
      <c r="LD104" s="69"/>
      <c r="LE104" s="69"/>
      <c r="LF104" s="69"/>
      <c r="LG104" s="69"/>
      <c r="LH104" s="69"/>
      <c r="LI104" s="64"/>
      <c r="LJ104" s="64"/>
      <c r="LK104" s="64"/>
      <c r="LL104" s="65"/>
      <c r="LP104" s="11"/>
    </row>
    <row r="105" spans="3:328" ht="15" customHeight="1" x14ac:dyDescent="0.25">
      <c r="C105" s="8"/>
      <c r="D105" s="8"/>
      <c r="E105" s="8"/>
      <c r="F105" s="8"/>
      <c r="G105" s="8"/>
      <c r="H105" s="8"/>
      <c r="I105" s="8"/>
      <c r="J105" s="9"/>
      <c r="O105" s="10"/>
      <c r="P105" s="46"/>
      <c r="Q105" s="47"/>
      <c r="R105" s="47"/>
      <c r="S105" s="47"/>
      <c r="T105" s="47"/>
      <c r="U105" s="47"/>
      <c r="V105" s="70"/>
      <c r="W105" s="70"/>
      <c r="X105" s="70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8"/>
      <c r="BB105" s="10"/>
      <c r="BC105" s="139" t="s">
        <v>20</v>
      </c>
      <c r="BD105" s="139"/>
      <c r="BE105" s="139"/>
      <c r="BF105" s="139"/>
      <c r="BG105" s="139"/>
      <c r="BH105" s="139"/>
      <c r="BI105" s="139"/>
      <c r="BJ105" s="139"/>
      <c r="BK105" s="11"/>
      <c r="BN105" s="10"/>
      <c r="BO105" s="139" t="s">
        <v>20</v>
      </c>
      <c r="BP105" s="139"/>
      <c r="BQ105" s="139"/>
      <c r="BR105" s="139"/>
      <c r="BS105" s="139"/>
      <c r="BT105" s="139"/>
      <c r="BU105" s="139"/>
      <c r="BV105" s="139"/>
      <c r="BW105" s="11"/>
      <c r="BZ105" s="10"/>
      <c r="CA105" s="139" t="s">
        <v>20</v>
      </c>
      <c r="CB105" s="139"/>
      <c r="CC105" s="139"/>
      <c r="CD105" s="139"/>
      <c r="CE105" s="139"/>
      <c r="CF105" s="139"/>
      <c r="CG105" s="139"/>
      <c r="CH105" s="139"/>
      <c r="CI105" s="11"/>
      <c r="CL105" s="10"/>
      <c r="CM105" s="139" t="s">
        <v>20</v>
      </c>
      <c r="CN105" s="139"/>
      <c r="CO105" s="139"/>
      <c r="CP105" s="139"/>
      <c r="CQ105" s="139"/>
      <c r="CR105" s="139"/>
      <c r="CS105" s="139"/>
      <c r="CT105" s="139"/>
      <c r="CU105" s="11"/>
      <c r="CX105" s="10"/>
      <c r="CY105" s="139" t="s">
        <v>20</v>
      </c>
      <c r="CZ105" s="139"/>
      <c r="DA105" s="139"/>
      <c r="DB105" s="139"/>
      <c r="DC105" s="139"/>
      <c r="DD105" s="139"/>
      <c r="DE105" s="139"/>
      <c r="DF105" s="139"/>
      <c r="DG105" s="11"/>
      <c r="DH105" s="11"/>
      <c r="DO105" s="10"/>
      <c r="DP105" s="7"/>
      <c r="DQ105" s="8"/>
      <c r="DR105" s="8"/>
      <c r="DS105" s="8"/>
      <c r="DT105" s="8"/>
      <c r="DU105" s="8"/>
      <c r="DV105" s="8"/>
      <c r="DW105" s="8"/>
      <c r="DX105" s="8"/>
      <c r="DY105" s="9"/>
      <c r="EB105" s="10"/>
      <c r="EK105" s="11"/>
      <c r="EN105" s="10"/>
      <c r="EW105" s="11"/>
      <c r="EZ105" s="10"/>
      <c r="FI105" s="11"/>
      <c r="FL105" s="10"/>
      <c r="FM105" s="139" t="s">
        <v>20</v>
      </c>
      <c r="FN105" s="139"/>
      <c r="FO105" s="139"/>
      <c r="FP105" s="139"/>
      <c r="FQ105" s="139"/>
      <c r="FR105" s="139"/>
      <c r="FS105" s="139"/>
      <c r="FT105" s="139"/>
      <c r="FU105" s="11"/>
      <c r="FX105" s="10"/>
      <c r="FY105" s="139" t="s">
        <v>20</v>
      </c>
      <c r="FZ105" s="139"/>
      <c r="GA105" s="139"/>
      <c r="GB105" s="139"/>
      <c r="GC105" s="139"/>
      <c r="GD105" s="139"/>
      <c r="GE105" s="139"/>
      <c r="GF105" s="139"/>
      <c r="GG105" s="11"/>
      <c r="GI105" s="10"/>
      <c r="GJ105" s="139" t="s">
        <v>20</v>
      </c>
      <c r="GK105" s="139"/>
      <c r="GL105" s="139"/>
      <c r="GM105" s="139"/>
      <c r="GN105" s="139"/>
      <c r="GO105" s="139"/>
      <c r="GP105" s="139"/>
      <c r="GQ105" s="139"/>
      <c r="GR105" s="11"/>
      <c r="GT105" s="11"/>
      <c r="GU105" s="10"/>
      <c r="GV105" s="139" t="s">
        <v>20</v>
      </c>
      <c r="GW105" s="139"/>
      <c r="GX105" s="139"/>
      <c r="GY105" s="139"/>
      <c r="GZ105" s="139"/>
      <c r="HA105" s="139"/>
      <c r="HB105" s="139"/>
      <c r="HC105" s="139"/>
      <c r="HD105" s="11"/>
      <c r="HE105" s="44"/>
      <c r="HM105" s="10"/>
      <c r="KK105" s="67"/>
      <c r="KL105" s="67"/>
      <c r="KM105" s="67"/>
      <c r="KN105" s="67"/>
      <c r="KO105" s="67"/>
      <c r="KP105" s="67"/>
      <c r="KQ105" s="11"/>
      <c r="KX105" s="63"/>
      <c r="KY105" s="64"/>
      <c r="KZ105" s="64"/>
      <c r="LA105" s="64"/>
      <c r="LB105" s="69"/>
      <c r="LC105" s="69"/>
      <c r="LD105" s="69"/>
      <c r="LE105" s="69"/>
      <c r="LF105" s="69"/>
      <c r="LG105" s="69"/>
      <c r="LH105" s="69"/>
      <c r="LI105" s="64"/>
      <c r="LJ105" s="64"/>
      <c r="LK105" s="64"/>
      <c r="LL105" s="65"/>
      <c r="LP105" s="11"/>
    </row>
    <row r="106" spans="3:328" ht="15" customHeight="1" x14ac:dyDescent="0.25">
      <c r="C106" s="8"/>
      <c r="D106" s="8"/>
      <c r="E106" s="8"/>
      <c r="F106" s="8"/>
      <c r="G106" s="8"/>
      <c r="H106" s="8"/>
      <c r="I106" s="8"/>
      <c r="J106" s="9"/>
      <c r="O106" s="10"/>
      <c r="P106" s="46"/>
      <c r="Q106" s="47"/>
      <c r="R106" s="47"/>
      <c r="S106" s="47"/>
      <c r="T106" s="47"/>
      <c r="U106" s="47"/>
      <c r="V106" s="70"/>
      <c r="W106" s="70"/>
      <c r="X106" s="70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70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71"/>
      <c r="BB106" s="10"/>
      <c r="BC106" s="139" t="s">
        <v>5</v>
      </c>
      <c r="BD106" s="139"/>
      <c r="BE106" s="139"/>
      <c r="BF106" s="139"/>
      <c r="BG106" s="139"/>
      <c r="BH106" s="139"/>
      <c r="BI106" s="139"/>
      <c r="BJ106" s="139"/>
      <c r="BK106" s="25"/>
      <c r="BN106" s="10"/>
      <c r="BO106" s="139" t="s">
        <v>5</v>
      </c>
      <c r="BP106" s="139"/>
      <c r="BQ106" s="139"/>
      <c r="BR106" s="139"/>
      <c r="BS106" s="139"/>
      <c r="BT106" s="139"/>
      <c r="BU106" s="139"/>
      <c r="BV106" s="139"/>
      <c r="BW106" s="25"/>
      <c r="BZ106" s="10"/>
      <c r="CA106" s="139" t="s">
        <v>5</v>
      </c>
      <c r="CB106" s="139"/>
      <c r="CC106" s="139"/>
      <c r="CD106" s="139"/>
      <c r="CE106" s="139"/>
      <c r="CF106" s="139"/>
      <c r="CG106" s="139"/>
      <c r="CH106" s="139"/>
      <c r="CI106" s="25"/>
      <c r="CL106" s="10"/>
      <c r="CM106" s="139" t="s">
        <v>5</v>
      </c>
      <c r="CN106" s="139"/>
      <c r="CO106" s="139"/>
      <c r="CP106" s="139"/>
      <c r="CQ106" s="139"/>
      <c r="CR106" s="139"/>
      <c r="CS106" s="139"/>
      <c r="CT106" s="139"/>
      <c r="CU106" s="25"/>
      <c r="CX106" s="10"/>
      <c r="CY106" s="139" t="s">
        <v>5</v>
      </c>
      <c r="CZ106" s="139"/>
      <c r="DA106" s="139"/>
      <c r="DB106" s="139"/>
      <c r="DC106" s="139"/>
      <c r="DD106" s="139"/>
      <c r="DE106" s="139"/>
      <c r="DF106" s="139"/>
      <c r="DG106" s="11"/>
      <c r="DH106" s="11"/>
      <c r="DO106" s="10"/>
      <c r="DP106" s="7"/>
      <c r="DQ106" s="8"/>
      <c r="DR106" s="8"/>
      <c r="DS106" s="8"/>
      <c r="DT106" s="8"/>
      <c r="DU106" s="8"/>
      <c r="DV106" s="8"/>
      <c r="DW106" s="8"/>
      <c r="DX106" s="8"/>
      <c r="DY106" s="84"/>
      <c r="EB106" s="10"/>
      <c r="EC106" s="139"/>
      <c r="ED106" s="139"/>
      <c r="EE106" s="139"/>
      <c r="EF106" s="139"/>
      <c r="EG106" s="139"/>
      <c r="EH106" s="139"/>
      <c r="EI106" s="139"/>
      <c r="EJ106" s="139"/>
      <c r="EK106" s="25"/>
      <c r="EN106" s="10"/>
      <c r="EO106" s="139"/>
      <c r="EP106" s="139"/>
      <c r="EQ106" s="139"/>
      <c r="ER106" s="139"/>
      <c r="ES106" s="139"/>
      <c r="ET106" s="139"/>
      <c r="EU106" s="139"/>
      <c r="EV106" s="139"/>
      <c r="EW106" s="25"/>
      <c r="EZ106" s="10"/>
      <c r="FA106" s="139"/>
      <c r="FB106" s="139"/>
      <c r="FC106" s="139"/>
      <c r="FD106" s="139"/>
      <c r="FE106" s="139"/>
      <c r="FF106" s="139"/>
      <c r="FG106" s="139"/>
      <c r="FH106" s="139"/>
      <c r="FI106" s="25"/>
      <c r="FL106" s="10"/>
      <c r="FM106" s="139" t="s">
        <v>5</v>
      </c>
      <c r="FN106" s="139"/>
      <c r="FO106" s="139"/>
      <c r="FP106" s="139"/>
      <c r="FQ106" s="139"/>
      <c r="FR106" s="139"/>
      <c r="FS106" s="139"/>
      <c r="FT106" s="139"/>
      <c r="FU106" s="25"/>
      <c r="FX106" s="10"/>
      <c r="FY106" s="139" t="s">
        <v>5</v>
      </c>
      <c r="FZ106" s="139"/>
      <c r="GA106" s="139"/>
      <c r="GB106" s="139"/>
      <c r="GC106" s="139"/>
      <c r="GD106" s="139"/>
      <c r="GE106" s="139"/>
      <c r="GF106" s="139"/>
      <c r="GG106" s="25"/>
      <c r="GI106" s="10"/>
      <c r="GJ106" s="139" t="s">
        <v>5</v>
      </c>
      <c r="GK106" s="139"/>
      <c r="GL106" s="139"/>
      <c r="GM106" s="139"/>
      <c r="GN106" s="139"/>
      <c r="GO106" s="139"/>
      <c r="GP106" s="139"/>
      <c r="GQ106" s="139"/>
      <c r="GR106" s="25"/>
      <c r="GT106" s="11"/>
      <c r="GU106" s="10"/>
      <c r="GV106" s="139" t="s">
        <v>5</v>
      </c>
      <c r="GW106" s="139"/>
      <c r="GX106" s="139"/>
      <c r="GY106" s="139"/>
      <c r="GZ106" s="139"/>
      <c r="HA106" s="139"/>
      <c r="HB106" s="139"/>
      <c r="HC106" s="139"/>
      <c r="HD106" s="25"/>
      <c r="HE106" s="44"/>
      <c r="HM106" s="10"/>
      <c r="HW106" s="26"/>
      <c r="II106" s="26"/>
      <c r="IU106" s="26"/>
      <c r="JG106" s="26"/>
      <c r="JS106" s="26"/>
      <c r="KE106" s="26"/>
      <c r="KK106" s="67"/>
      <c r="KL106" s="67"/>
      <c r="KM106" s="67"/>
      <c r="KN106" s="67"/>
      <c r="KO106" s="67"/>
      <c r="KP106" s="67"/>
      <c r="KQ106" s="11"/>
      <c r="KX106" s="63"/>
      <c r="KY106" s="64"/>
      <c r="KZ106" s="64"/>
      <c r="LA106" s="64"/>
      <c r="LB106" s="69"/>
      <c r="LC106" s="69"/>
      <c r="LD106" s="69"/>
      <c r="LE106" s="69"/>
      <c r="LF106" s="69"/>
      <c r="LG106" s="69"/>
      <c r="LH106" s="69"/>
      <c r="LI106" s="64"/>
      <c r="LJ106" s="64"/>
      <c r="LK106" s="64"/>
      <c r="LL106" s="65"/>
      <c r="LP106" s="11"/>
    </row>
    <row r="107" spans="3:328" ht="15" customHeight="1" x14ac:dyDescent="0.25">
      <c r="C107" s="8"/>
      <c r="D107" s="8"/>
      <c r="E107" s="8"/>
      <c r="F107" s="8"/>
      <c r="G107" s="8"/>
      <c r="H107" s="8"/>
      <c r="I107" s="8"/>
      <c r="J107" s="9"/>
      <c r="O107" s="10"/>
      <c r="P107" s="46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70"/>
      <c r="AJ107" s="70"/>
      <c r="AK107" s="70"/>
      <c r="AL107" s="47"/>
      <c r="AM107" s="47"/>
      <c r="AN107" s="47"/>
      <c r="AO107" s="47"/>
      <c r="AP107" s="47"/>
      <c r="AQ107" s="47"/>
      <c r="AR107" s="47"/>
      <c r="AS107" s="47"/>
      <c r="AT107" s="47"/>
      <c r="AU107" s="70"/>
      <c r="AV107" s="70"/>
      <c r="AW107" s="71"/>
      <c r="BB107" s="10"/>
      <c r="BC107" s="139">
        <v>10</v>
      </c>
      <c r="BD107" s="139"/>
      <c r="BE107" s="139"/>
      <c r="BH107" s="139">
        <v>9</v>
      </c>
      <c r="BI107" s="139"/>
      <c r="BJ107" s="139"/>
      <c r="BK107" s="25"/>
      <c r="BN107" s="10"/>
      <c r="BO107" s="139">
        <v>8</v>
      </c>
      <c r="BP107" s="139"/>
      <c r="BQ107" s="139"/>
      <c r="BT107" s="139">
        <v>7</v>
      </c>
      <c r="BU107" s="139"/>
      <c r="BV107" s="139"/>
      <c r="BW107" s="25"/>
      <c r="BZ107" s="10"/>
      <c r="CA107" s="139">
        <v>6</v>
      </c>
      <c r="CB107" s="139"/>
      <c r="CC107" s="139"/>
      <c r="CF107" s="139">
        <v>5</v>
      </c>
      <c r="CG107" s="139"/>
      <c r="CH107" s="139"/>
      <c r="CI107" s="25"/>
      <c r="CL107" s="10"/>
      <c r="CM107" s="139">
        <v>4</v>
      </c>
      <c r="CN107" s="139"/>
      <c r="CO107" s="139"/>
      <c r="CR107" s="139">
        <v>3</v>
      </c>
      <c r="CS107" s="139"/>
      <c r="CT107" s="139"/>
      <c r="CU107" s="25"/>
      <c r="CX107" s="10"/>
      <c r="CY107" s="139">
        <v>2</v>
      </c>
      <c r="CZ107" s="139"/>
      <c r="DA107" s="139"/>
      <c r="DD107" s="139">
        <v>1</v>
      </c>
      <c r="DE107" s="139"/>
      <c r="DF107" s="139"/>
      <c r="DG107" s="11"/>
      <c r="DH107" s="11"/>
      <c r="DO107" s="10"/>
      <c r="DP107" s="7"/>
      <c r="DQ107" s="8"/>
      <c r="DR107" s="8"/>
      <c r="DS107" s="8"/>
      <c r="DT107" s="8"/>
      <c r="DU107" s="8"/>
      <c r="DV107" s="8"/>
      <c r="DW107" s="85"/>
      <c r="DX107" s="85"/>
      <c r="DY107" s="84"/>
      <c r="EB107" s="10"/>
      <c r="EI107" s="26"/>
      <c r="EJ107" s="26"/>
      <c r="EK107" s="25"/>
      <c r="EN107" s="10"/>
      <c r="EU107" s="26"/>
      <c r="EV107" s="26"/>
      <c r="EW107" s="25"/>
      <c r="EZ107" s="10"/>
      <c r="FG107" s="26"/>
      <c r="FH107" s="26"/>
      <c r="FI107" s="25"/>
      <c r="FL107" s="10"/>
      <c r="FR107" s="139">
        <v>17</v>
      </c>
      <c r="FS107" s="139"/>
      <c r="FT107" s="139"/>
      <c r="FU107" s="25"/>
      <c r="FX107" s="10"/>
      <c r="FY107" s="139">
        <v>16</v>
      </c>
      <c r="FZ107" s="139"/>
      <c r="GA107" s="139"/>
      <c r="GD107" s="139">
        <v>15</v>
      </c>
      <c r="GE107" s="139"/>
      <c r="GF107" s="139"/>
      <c r="GG107" s="25"/>
      <c r="GI107" s="10"/>
      <c r="GJ107" s="139">
        <v>11</v>
      </c>
      <c r="GK107" s="139"/>
      <c r="GL107" s="139"/>
      <c r="GO107" s="139">
        <v>12</v>
      </c>
      <c r="GP107" s="139"/>
      <c r="GQ107" s="139"/>
      <c r="GR107" s="25"/>
      <c r="GT107" s="11"/>
      <c r="GU107" s="10"/>
      <c r="GV107" s="139">
        <v>13</v>
      </c>
      <c r="GW107" s="139"/>
      <c r="GX107" s="139"/>
      <c r="HA107" s="139">
        <v>14</v>
      </c>
      <c r="HB107" s="139"/>
      <c r="HC107" s="139"/>
      <c r="HD107" s="25"/>
      <c r="HE107" s="44"/>
      <c r="HM107" s="10"/>
      <c r="HU107" s="26"/>
      <c r="HV107" s="26"/>
      <c r="HW107" s="26"/>
      <c r="IG107" s="26"/>
      <c r="IH107" s="26"/>
      <c r="II107" s="26"/>
      <c r="IS107" s="26"/>
      <c r="IT107" s="26"/>
      <c r="IU107" s="26"/>
      <c r="JE107" s="26"/>
      <c r="JF107" s="26"/>
      <c r="JG107" s="26"/>
      <c r="JQ107" s="26"/>
      <c r="JR107" s="26"/>
      <c r="JS107" s="26"/>
      <c r="KC107" s="26"/>
      <c r="KD107" s="26"/>
      <c r="KE107" s="26"/>
      <c r="KK107" s="67"/>
      <c r="KL107" s="67"/>
      <c r="KM107" s="67"/>
      <c r="KN107" s="67"/>
      <c r="KO107" s="67"/>
      <c r="KP107" s="67"/>
      <c r="KQ107" s="11"/>
      <c r="KX107" s="63"/>
      <c r="KY107" s="64"/>
      <c r="KZ107" s="64"/>
      <c r="LA107" s="64"/>
      <c r="LB107" s="69"/>
      <c r="LC107" s="69"/>
      <c r="LD107" s="69"/>
      <c r="LE107" s="69"/>
      <c r="LF107" s="69"/>
      <c r="LG107" s="69"/>
      <c r="LH107" s="69"/>
      <c r="LI107" s="64"/>
      <c r="LJ107" s="64"/>
      <c r="LK107" s="64"/>
      <c r="LL107" s="65"/>
      <c r="LP107" s="11"/>
    </row>
    <row r="108" spans="3:328" ht="15" customHeight="1" x14ac:dyDescent="0.25">
      <c r="C108" s="8"/>
      <c r="D108" s="8"/>
      <c r="E108" s="8"/>
      <c r="F108" s="8"/>
      <c r="G108" s="8"/>
      <c r="H108" s="8"/>
      <c r="I108" s="8"/>
      <c r="J108" s="9"/>
      <c r="O108" s="10"/>
      <c r="P108" s="46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8"/>
      <c r="BB108" s="10"/>
      <c r="BK108" s="11"/>
      <c r="BN108" s="10"/>
      <c r="BW108" s="11"/>
      <c r="BZ108" s="10"/>
      <c r="CI108" s="11"/>
      <c r="CL108" s="10"/>
      <c r="CU108" s="11"/>
      <c r="CX108" s="10"/>
      <c r="DG108" s="11"/>
      <c r="DH108" s="11"/>
      <c r="DO108" s="10"/>
      <c r="DP108" s="7"/>
      <c r="DQ108" s="8"/>
      <c r="DR108" s="8"/>
      <c r="DS108" s="8"/>
      <c r="DT108" s="8"/>
      <c r="DU108" s="8"/>
      <c r="DV108" s="8"/>
      <c r="DW108" s="8"/>
      <c r="DX108" s="8"/>
      <c r="DY108" s="9"/>
      <c r="EB108" s="10"/>
      <c r="EK108" s="11"/>
      <c r="EN108" s="10"/>
      <c r="EW108" s="11"/>
      <c r="EZ108" s="10"/>
      <c r="FI108" s="11"/>
      <c r="FL108" s="10"/>
      <c r="FU108" s="11"/>
      <c r="FX108" s="10"/>
      <c r="GG108" s="11"/>
      <c r="GI108" s="10"/>
      <c r="GR108" s="11"/>
      <c r="GT108" s="11"/>
      <c r="GU108" s="10"/>
      <c r="HD108" s="11"/>
      <c r="HE108" s="44"/>
      <c r="HM108" s="10"/>
      <c r="KK108" s="67"/>
      <c r="KL108" s="67"/>
      <c r="KM108" s="67"/>
      <c r="KN108" s="67"/>
      <c r="KO108" s="67"/>
      <c r="KP108" s="67"/>
      <c r="KQ108" s="11"/>
      <c r="KX108" s="63"/>
      <c r="KY108" s="64"/>
      <c r="KZ108" s="64"/>
      <c r="LA108" s="64"/>
      <c r="LB108" s="69"/>
      <c r="LC108" s="69"/>
      <c r="LD108" s="69"/>
      <c r="LE108" s="69"/>
      <c r="LF108" s="69"/>
      <c r="LG108" s="69"/>
      <c r="LH108" s="69"/>
      <c r="LI108" s="64"/>
      <c r="LJ108" s="64"/>
      <c r="LK108" s="64"/>
      <c r="LL108" s="65"/>
      <c r="LP108" s="11"/>
    </row>
    <row r="109" spans="3:328" ht="15" customHeight="1" x14ac:dyDescent="0.25">
      <c r="C109" s="8"/>
      <c r="D109" s="8"/>
      <c r="E109" s="8"/>
      <c r="F109" s="8"/>
      <c r="G109" s="8"/>
      <c r="H109" s="8"/>
      <c r="I109" s="8"/>
      <c r="J109" s="9"/>
      <c r="O109" s="10"/>
      <c r="P109" s="46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8"/>
      <c r="BB109" s="10"/>
      <c r="BK109" s="11"/>
      <c r="BN109" s="10"/>
      <c r="BW109" s="11"/>
      <c r="BZ109" s="10"/>
      <c r="CI109" s="11"/>
      <c r="CL109" s="10"/>
      <c r="CU109" s="11"/>
      <c r="CX109" s="10"/>
      <c r="DG109" s="11"/>
      <c r="DH109" s="11"/>
      <c r="DO109" s="10"/>
      <c r="DP109" s="7"/>
      <c r="DQ109" s="8"/>
      <c r="DR109" s="8"/>
      <c r="DS109" s="8"/>
      <c r="DT109" s="8"/>
      <c r="DU109" s="8"/>
      <c r="DV109" s="8"/>
      <c r="DW109" s="8"/>
      <c r="DX109" s="8"/>
      <c r="DY109" s="9"/>
      <c r="EB109" s="10"/>
      <c r="EK109" s="11"/>
      <c r="EN109" s="10"/>
      <c r="EW109" s="11"/>
      <c r="EZ109" s="10"/>
      <c r="FI109" s="11"/>
      <c r="FL109" s="10"/>
      <c r="FU109" s="11"/>
      <c r="FX109" s="10"/>
      <c r="GG109" s="11"/>
      <c r="GI109" s="10"/>
      <c r="GR109" s="11"/>
      <c r="GT109" s="11"/>
      <c r="GU109" s="10"/>
      <c r="HD109" s="11"/>
      <c r="HE109" s="44"/>
      <c r="HM109" s="10"/>
      <c r="KK109" s="67"/>
      <c r="KL109" s="67"/>
      <c r="KM109" s="67"/>
      <c r="KN109" s="67"/>
      <c r="KO109" s="67"/>
      <c r="KP109" s="67"/>
      <c r="KQ109" s="11"/>
      <c r="KX109" s="63"/>
      <c r="KY109" s="64"/>
      <c r="KZ109" s="64"/>
      <c r="LA109" s="64"/>
      <c r="LB109" s="69"/>
      <c r="LC109" s="69"/>
      <c r="LD109" s="69"/>
      <c r="LE109" s="69"/>
      <c r="LF109" s="69"/>
      <c r="LG109" s="69"/>
      <c r="LH109" s="69"/>
      <c r="LI109" s="64"/>
      <c r="LJ109" s="64"/>
      <c r="LK109" s="64"/>
      <c r="LL109" s="65"/>
      <c r="LP109" s="11"/>
    </row>
    <row r="110" spans="3:328" ht="15" customHeight="1" x14ac:dyDescent="0.25">
      <c r="C110" s="8"/>
      <c r="D110" s="8"/>
      <c r="E110" s="8"/>
      <c r="F110" s="8"/>
      <c r="G110" s="8"/>
      <c r="H110" s="8"/>
      <c r="I110" s="8"/>
      <c r="J110" s="9"/>
      <c r="O110" s="10"/>
      <c r="P110" s="46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8"/>
      <c r="BB110" s="10"/>
      <c r="BC110" s="27"/>
      <c r="BE110" s="28"/>
      <c r="BH110" s="27"/>
      <c r="BJ110" s="28"/>
      <c r="BK110" s="11"/>
      <c r="BN110" s="10"/>
      <c r="BO110" s="27"/>
      <c r="BQ110" s="28"/>
      <c r="BT110" s="27"/>
      <c r="BV110" s="28"/>
      <c r="BW110" s="11"/>
      <c r="BZ110" s="10"/>
      <c r="CA110" s="27"/>
      <c r="CC110" s="28"/>
      <c r="CF110" s="27"/>
      <c r="CH110" s="28"/>
      <c r="CI110" s="11"/>
      <c r="CL110" s="10"/>
      <c r="CM110" s="27"/>
      <c r="CO110" s="28"/>
      <c r="CR110" s="27"/>
      <c r="CT110" s="28"/>
      <c r="CU110" s="11"/>
      <c r="CX110" s="10"/>
      <c r="CY110" s="27"/>
      <c r="DA110" s="28"/>
      <c r="DD110" s="27"/>
      <c r="DF110" s="28"/>
      <c r="DG110" s="11"/>
      <c r="DH110" s="11"/>
      <c r="DO110" s="10"/>
      <c r="DP110" s="7"/>
      <c r="DQ110" s="8"/>
      <c r="DR110" s="8"/>
      <c r="DS110" s="8"/>
      <c r="DT110" s="8"/>
      <c r="DU110" s="8"/>
      <c r="DV110" s="8"/>
      <c r="DW110" s="8"/>
      <c r="DX110" s="8"/>
      <c r="DY110" s="9"/>
      <c r="EB110" s="10"/>
      <c r="EC110" s="72"/>
      <c r="EE110" s="72"/>
      <c r="EH110" s="72"/>
      <c r="EJ110" s="72"/>
      <c r="EK110" s="11"/>
      <c r="EN110" s="10"/>
      <c r="EO110" s="72"/>
      <c r="EQ110" s="72"/>
      <c r="ET110" s="72"/>
      <c r="EV110" s="72"/>
      <c r="EW110" s="11"/>
      <c r="EZ110" s="10"/>
      <c r="FA110" s="72"/>
      <c r="FC110" s="72"/>
      <c r="FF110" s="72"/>
      <c r="FH110" s="72"/>
      <c r="FI110" s="11"/>
      <c r="FL110" s="10"/>
      <c r="FM110" s="72"/>
      <c r="FO110" s="72"/>
      <c r="FR110" s="27"/>
      <c r="FT110" s="28"/>
      <c r="FU110" s="11"/>
      <c r="FX110" s="10"/>
      <c r="FY110" s="27"/>
      <c r="GA110" s="28"/>
      <c r="GD110" s="27"/>
      <c r="GF110" s="28"/>
      <c r="GG110" s="11"/>
      <c r="GI110" s="10"/>
      <c r="GJ110" s="27"/>
      <c r="GL110" s="28"/>
      <c r="GO110" s="27"/>
      <c r="GQ110" s="28"/>
      <c r="GR110" s="11"/>
      <c r="GT110" s="11"/>
      <c r="GU110" s="10"/>
      <c r="GV110" s="27"/>
      <c r="GX110" s="28"/>
      <c r="HA110" s="27"/>
      <c r="HC110" s="28"/>
      <c r="HD110" s="11"/>
      <c r="HE110" s="44"/>
      <c r="HM110" s="10"/>
      <c r="KK110" s="67"/>
      <c r="KL110" s="67"/>
      <c r="KM110" s="67"/>
      <c r="KN110" s="67"/>
      <c r="KO110" s="67"/>
      <c r="KP110" s="67"/>
      <c r="KQ110" s="11"/>
      <c r="KX110" s="63"/>
      <c r="KY110" s="64"/>
      <c r="KZ110" s="64"/>
      <c r="LA110" s="64"/>
      <c r="LB110" s="64"/>
      <c r="LC110" s="64"/>
      <c r="LD110" s="64"/>
      <c r="LE110" s="64"/>
      <c r="LF110" s="64"/>
      <c r="LG110" s="64"/>
      <c r="LH110" s="64"/>
      <c r="LI110" s="64"/>
      <c r="LJ110" s="64"/>
      <c r="LK110" s="64"/>
      <c r="LL110" s="65"/>
      <c r="LP110" s="11"/>
    </row>
    <row r="111" spans="3:328" ht="15" customHeight="1" x14ac:dyDescent="0.25">
      <c r="C111" s="8"/>
      <c r="D111" s="8"/>
      <c r="E111" s="8"/>
      <c r="F111" s="8"/>
      <c r="G111" s="8"/>
      <c r="H111" s="8"/>
      <c r="I111" s="8"/>
      <c r="J111" s="9"/>
      <c r="O111" s="10"/>
      <c r="P111" s="46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8"/>
      <c r="BB111" s="10"/>
      <c r="BC111" s="27"/>
      <c r="BE111" s="28"/>
      <c r="BH111" s="27"/>
      <c r="BJ111" s="28"/>
      <c r="BK111" s="11"/>
      <c r="BN111" s="10"/>
      <c r="BO111" s="27"/>
      <c r="BQ111" s="28"/>
      <c r="BT111" s="27"/>
      <c r="BV111" s="28"/>
      <c r="BW111" s="11"/>
      <c r="BZ111" s="10"/>
      <c r="CA111" s="27"/>
      <c r="CC111" s="28"/>
      <c r="CF111" s="27"/>
      <c r="CH111" s="28"/>
      <c r="CI111" s="11"/>
      <c r="CL111" s="10"/>
      <c r="CM111" s="27"/>
      <c r="CO111" s="28"/>
      <c r="CR111" s="27"/>
      <c r="CT111" s="28"/>
      <c r="CU111" s="11"/>
      <c r="CX111" s="10"/>
      <c r="CY111" s="27"/>
      <c r="DA111" s="28"/>
      <c r="DD111" s="27"/>
      <c r="DF111" s="28"/>
      <c r="DG111" s="11"/>
      <c r="DH111" s="11"/>
      <c r="DO111" s="10"/>
      <c r="DP111" s="7"/>
      <c r="DQ111" s="8"/>
      <c r="DR111" s="8"/>
      <c r="DS111" s="8"/>
      <c r="DT111" s="8"/>
      <c r="DU111" s="8"/>
      <c r="DV111" s="8"/>
      <c r="DW111" s="8"/>
      <c r="DX111" s="8"/>
      <c r="DY111" s="9"/>
      <c r="EB111" s="10"/>
      <c r="EC111" s="72"/>
      <c r="EE111" s="72"/>
      <c r="EH111" s="72"/>
      <c r="EJ111" s="72"/>
      <c r="EK111" s="11"/>
      <c r="EN111" s="10"/>
      <c r="EO111" s="72"/>
      <c r="EQ111" s="72"/>
      <c r="ET111" s="72"/>
      <c r="EV111" s="72"/>
      <c r="EW111" s="11"/>
      <c r="EZ111" s="10"/>
      <c r="FA111" s="72"/>
      <c r="FC111" s="72"/>
      <c r="FF111" s="72"/>
      <c r="FH111" s="72"/>
      <c r="FI111" s="11"/>
      <c r="FL111" s="10"/>
      <c r="FM111" s="72"/>
      <c r="FO111" s="72"/>
      <c r="FR111" s="27"/>
      <c r="FT111" s="28"/>
      <c r="FU111" s="11"/>
      <c r="FX111" s="10"/>
      <c r="FY111" s="27"/>
      <c r="GA111" s="28"/>
      <c r="GD111" s="27"/>
      <c r="GF111" s="28"/>
      <c r="GG111" s="11"/>
      <c r="GI111" s="10"/>
      <c r="GJ111" s="27"/>
      <c r="GL111" s="28"/>
      <c r="GO111" s="27"/>
      <c r="GQ111" s="28"/>
      <c r="GR111" s="11"/>
      <c r="GT111" s="11"/>
      <c r="GU111" s="10"/>
      <c r="GV111" s="27"/>
      <c r="GX111" s="28"/>
      <c r="HA111" s="27"/>
      <c r="HC111" s="28"/>
      <c r="HD111" s="11"/>
      <c r="HE111" s="44"/>
      <c r="HM111" s="10"/>
      <c r="KK111" s="67"/>
      <c r="KL111" s="67"/>
      <c r="KM111" s="67"/>
      <c r="KN111" s="67"/>
      <c r="KO111" s="67"/>
      <c r="KP111" s="67"/>
      <c r="KQ111" s="11"/>
      <c r="KX111" s="63"/>
      <c r="KY111" s="64"/>
      <c r="KZ111" s="64"/>
      <c r="LA111" s="64"/>
      <c r="LB111" s="64"/>
      <c r="LC111" s="64"/>
      <c r="LD111" s="64"/>
      <c r="LE111" s="64"/>
      <c r="LF111" s="64"/>
      <c r="LG111" s="64"/>
      <c r="LH111" s="64"/>
      <c r="LI111" s="64"/>
      <c r="LJ111" s="64"/>
      <c r="LK111" s="64"/>
      <c r="LL111" s="65"/>
      <c r="LP111" s="11"/>
    </row>
    <row r="112" spans="3:328" ht="15" customHeight="1" x14ac:dyDescent="0.25">
      <c r="C112" s="8"/>
      <c r="D112" s="8"/>
      <c r="E112" s="8"/>
      <c r="F112" s="8"/>
      <c r="G112" s="8"/>
      <c r="H112" s="8"/>
      <c r="I112" s="8"/>
      <c r="J112" s="9"/>
      <c r="O112" s="10"/>
      <c r="P112" s="46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8"/>
      <c r="BB112" s="10"/>
      <c r="BC112" s="82"/>
      <c r="BE112" s="28"/>
      <c r="BH112" s="82"/>
      <c r="BJ112" s="28"/>
      <c r="BK112" s="11"/>
      <c r="BN112" s="10"/>
      <c r="BO112" s="82"/>
      <c r="BQ112" s="28"/>
      <c r="BT112" s="82"/>
      <c r="BV112" s="28"/>
      <c r="BW112" s="11"/>
      <c r="BZ112" s="10"/>
      <c r="CA112" s="82"/>
      <c r="CC112" s="28"/>
      <c r="CF112" s="82"/>
      <c r="CH112" s="28"/>
      <c r="CI112" s="11"/>
      <c r="CL112" s="10"/>
      <c r="CM112" s="82"/>
      <c r="CO112" s="28"/>
      <c r="CR112" s="82"/>
      <c r="CT112" s="28"/>
      <c r="CU112" s="11"/>
      <c r="CX112" s="10"/>
      <c r="CY112" s="82"/>
      <c r="DA112" s="28"/>
      <c r="DD112" s="82"/>
      <c r="DF112" s="28"/>
      <c r="DG112" s="11"/>
      <c r="DH112" s="11"/>
      <c r="DO112" s="10"/>
      <c r="DP112" s="7"/>
      <c r="DQ112" s="8"/>
      <c r="DR112" s="8"/>
      <c r="DS112" s="8"/>
      <c r="DT112" s="8"/>
      <c r="DU112" s="8"/>
      <c r="DV112" s="8"/>
      <c r="DW112" s="8"/>
      <c r="DX112" s="8"/>
      <c r="DY112" s="9"/>
      <c r="EB112" s="10"/>
      <c r="EC112" s="72"/>
      <c r="EE112" s="72"/>
      <c r="EH112" s="72"/>
      <c r="EJ112" s="72"/>
      <c r="EK112" s="11"/>
      <c r="EN112" s="10"/>
      <c r="EO112" s="72"/>
      <c r="EQ112" s="72"/>
      <c r="ET112" s="72"/>
      <c r="EV112" s="72"/>
      <c r="EW112" s="11"/>
      <c r="EZ112" s="10"/>
      <c r="FA112" s="72"/>
      <c r="FC112" s="72"/>
      <c r="FF112" s="72"/>
      <c r="FH112" s="72"/>
      <c r="FI112" s="11"/>
      <c r="FL112" s="10"/>
      <c r="FM112" s="72"/>
      <c r="FO112" s="72"/>
      <c r="FR112" s="82"/>
      <c r="FT112" s="28"/>
      <c r="FU112" s="11"/>
      <c r="FX112" s="10"/>
      <c r="FY112" s="82"/>
      <c r="GA112" s="28"/>
      <c r="GD112" s="82"/>
      <c r="GF112" s="28"/>
      <c r="GG112" s="11"/>
      <c r="GI112" s="10"/>
      <c r="GJ112" s="82"/>
      <c r="GL112" s="28"/>
      <c r="GO112" s="82"/>
      <c r="GQ112" s="28"/>
      <c r="GR112" s="11"/>
      <c r="GT112" s="11"/>
      <c r="GU112" s="10"/>
      <c r="GV112" s="82"/>
      <c r="GX112" s="28"/>
      <c r="HA112" s="82"/>
      <c r="HC112" s="28"/>
      <c r="HD112" s="11"/>
      <c r="HE112" s="44"/>
      <c r="HM112" s="10"/>
      <c r="KK112" s="67"/>
      <c r="KL112" s="67"/>
      <c r="KM112" s="67"/>
      <c r="KN112" s="67"/>
      <c r="KO112" s="67"/>
      <c r="KP112" s="67"/>
      <c r="KQ112" s="11"/>
      <c r="KX112" s="63"/>
      <c r="KY112" s="64"/>
      <c r="KZ112" s="64"/>
      <c r="LA112" s="64"/>
      <c r="LB112" s="64"/>
      <c r="LC112" s="64"/>
      <c r="LD112" s="64"/>
      <c r="LE112" s="64"/>
      <c r="LF112" s="64"/>
      <c r="LG112" s="64"/>
      <c r="LH112" s="64"/>
      <c r="LI112" s="64"/>
      <c r="LJ112" s="64"/>
      <c r="LK112" s="64"/>
      <c r="LL112" s="65"/>
      <c r="LP112" s="11"/>
    </row>
    <row r="113" spans="3:328" ht="15" customHeight="1" x14ac:dyDescent="0.25">
      <c r="C113" s="8"/>
      <c r="D113" s="8"/>
      <c r="E113" s="8"/>
      <c r="F113" s="8"/>
      <c r="G113" s="8"/>
      <c r="H113" s="8"/>
      <c r="I113" s="8"/>
      <c r="J113" s="9"/>
      <c r="O113" s="10"/>
      <c r="P113" s="46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8"/>
      <c r="BB113" s="10"/>
      <c r="BC113" s="82"/>
      <c r="BE113" s="28"/>
      <c r="BH113" s="82"/>
      <c r="BJ113" s="28"/>
      <c r="BK113" s="11"/>
      <c r="BN113" s="10"/>
      <c r="BO113" s="82"/>
      <c r="BQ113" s="28"/>
      <c r="BT113" s="82"/>
      <c r="BV113" s="28"/>
      <c r="BW113" s="11"/>
      <c r="BZ113" s="10"/>
      <c r="CA113" s="82"/>
      <c r="CC113" s="28"/>
      <c r="CF113" s="82"/>
      <c r="CH113" s="28"/>
      <c r="CI113" s="11"/>
      <c r="CL113" s="10"/>
      <c r="CM113" s="82"/>
      <c r="CO113" s="28"/>
      <c r="CR113" s="82"/>
      <c r="CT113" s="28"/>
      <c r="CU113" s="11"/>
      <c r="CX113" s="10"/>
      <c r="CY113" s="82"/>
      <c r="DA113" s="28"/>
      <c r="DD113" s="82"/>
      <c r="DF113" s="28"/>
      <c r="DG113" s="11"/>
      <c r="DH113" s="11"/>
      <c r="DO113" s="10"/>
      <c r="DP113" s="7"/>
      <c r="DQ113" s="8"/>
      <c r="DR113" s="8"/>
      <c r="DS113" s="8"/>
      <c r="DT113" s="8"/>
      <c r="DU113" s="8"/>
      <c r="DV113" s="8"/>
      <c r="DW113" s="8"/>
      <c r="DX113" s="8"/>
      <c r="DY113" s="9"/>
      <c r="EB113" s="10"/>
      <c r="EC113" s="72"/>
      <c r="EE113" s="72"/>
      <c r="EH113" s="72"/>
      <c r="EJ113" s="72"/>
      <c r="EK113" s="11"/>
      <c r="EN113" s="10"/>
      <c r="EO113" s="72"/>
      <c r="EQ113" s="72"/>
      <c r="ET113" s="72"/>
      <c r="EV113" s="72"/>
      <c r="EW113" s="11"/>
      <c r="EZ113" s="10"/>
      <c r="FA113" s="72"/>
      <c r="FC113" s="72"/>
      <c r="FF113" s="72"/>
      <c r="FH113" s="72"/>
      <c r="FI113" s="11"/>
      <c r="FL113" s="10"/>
      <c r="FM113" s="72"/>
      <c r="FO113" s="72"/>
      <c r="FR113" s="82"/>
      <c r="FT113" s="28"/>
      <c r="FU113" s="11"/>
      <c r="FX113" s="10"/>
      <c r="FY113" s="82"/>
      <c r="GA113" s="28"/>
      <c r="GD113" s="82"/>
      <c r="GF113" s="28"/>
      <c r="GG113" s="11"/>
      <c r="GI113" s="10"/>
      <c r="GJ113" s="82"/>
      <c r="GL113" s="28"/>
      <c r="GO113" s="82"/>
      <c r="GQ113" s="28"/>
      <c r="GR113" s="11"/>
      <c r="GT113" s="11"/>
      <c r="GU113" s="10"/>
      <c r="GV113" s="82"/>
      <c r="GX113" s="28"/>
      <c r="HA113" s="82"/>
      <c r="HC113" s="28"/>
      <c r="HD113" s="11"/>
      <c r="HE113" s="44"/>
      <c r="HM113" s="10"/>
      <c r="KK113" s="67"/>
      <c r="KL113" s="67"/>
      <c r="KM113" s="67"/>
      <c r="KN113" s="67"/>
      <c r="KO113" s="67"/>
      <c r="KP113" s="67"/>
      <c r="KQ113" s="11"/>
      <c r="KX113" s="63"/>
      <c r="KY113" s="64"/>
      <c r="KZ113" s="64"/>
      <c r="LA113" s="64"/>
      <c r="LB113" s="64"/>
      <c r="LC113" s="64"/>
      <c r="LD113" s="64"/>
      <c r="LE113" s="64"/>
      <c r="LF113" s="64"/>
      <c r="LG113" s="64"/>
      <c r="LH113" s="64"/>
      <c r="LI113" s="64"/>
      <c r="LJ113" s="64"/>
      <c r="LK113" s="64"/>
      <c r="LL113" s="65"/>
      <c r="LP113" s="11"/>
    </row>
    <row r="114" spans="3:328" x14ac:dyDescent="0.25">
      <c r="C114" s="143" t="s">
        <v>21</v>
      </c>
      <c r="D114" s="143"/>
      <c r="E114" s="143"/>
      <c r="F114" s="143"/>
      <c r="G114" s="143"/>
      <c r="H114" s="143"/>
      <c r="I114" s="143"/>
      <c r="J114" s="9"/>
      <c r="O114" s="10"/>
      <c r="P114" s="46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8"/>
      <c r="BB114" s="10"/>
      <c r="BC114" s="82"/>
      <c r="BE114" s="28"/>
      <c r="BH114" s="82"/>
      <c r="BJ114" s="28"/>
      <c r="BK114" s="11"/>
      <c r="BN114" s="10"/>
      <c r="BO114" s="82"/>
      <c r="BQ114" s="28"/>
      <c r="BT114" s="82"/>
      <c r="BV114" s="28"/>
      <c r="BW114" s="11"/>
      <c r="BZ114" s="10"/>
      <c r="CA114" s="82"/>
      <c r="CC114" s="28"/>
      <c r="CF114" s="82"/>
      <c r="CH114" s="28"/>
      <c r="CI114" s="11"/>
      <c r="CL114" s="10"/>
      <c r="CM114" s="82"/>
      <c r="CO114" s="28"/>
      <c r="CR114" s="82"/>
      <c r="CT114" s="28"/>
      <c r="CU114" s="11"/>
      <c r="CX114" s="10"/>
      <c r="CY114" s="82"/>
      <c r="DA114" s="28"/>
      <c r="DD114" s="82"/>
      <c r="DF114" s="28"/>
      <c r="DG114" s="11"/>
      <c r="DH114" s="11"/>
      <c r="DO114" s="10"/>
      <c r="DP114" s="7"/>
      <c r="DQ114" s="8"/>
      <c r="DR114" s="8"/>
      <c r="DS114" s="8"/>
      <c r="DT114" s="8"/>
      <c r="DU114" s="8"/>
      <c r="DV114" s="8"/>
      <c r="DW114" s="8"/>
      <c r="DX114" s="8"/>
      <c r="DY114" s="9"/>
      <c r="EB114" s="10"/>
      <c r="EC114" s="72"/>
      <c r="EE114" s="72"/>
      <c r="EH114" s="72"/>
      <c r="EJ114" s="72"/>
      <c r="EK114" s="11"/>
      <c r="EN114" s="10"/>
      <c r="EO114" s="72"/>
      <c r="EQ114" s="72"/>
      <c r="ET114" s="72"/>
      <c r="EV114" s="72"/>
      <c r="EW114" s="11"/>
      <c r="EZ114" s="10"/>
      <c r="FA114" s="72"/>
      <c r="FC114" s="72"/>
      <c r="FF114" s="72"/>
      <c r="FH114" s="72"/>
      <c r="FI114" s="11"/>
      <c r="FL114" s="10"/>
      <c r="FM114" s="72"/>
      <c r="FO114" s="72"/>
      <c r="FR114" s="82"/>
      <c r="FT114" s="28"/>
      <c r="FU114" s="11"/>
      <c r="FX114" s="10"/>
      <c r="FY114" s="82"/>
      <c r="GA114" s="28"/>
      <c r="GD114" s="82"/>
      <c r="GF114" s="28"/>
      <c r="GG114" s="11"/>
      <c r="GI114" s="10"/>
      <c r="GJ114" s="82"/>
      <c r="GL114" s="28"/>
      <c r="GO114" s="82"/>
      <c r="GQ114" s="28"/>
      <c r="GR114" s="11"/>
      <c r="GT114" s="11"/>
      <c r="GU114" s="10"/>
      <c r="GV114" s="82"/>
      <c r="GX114" s="28"/>
      <c r="HA114" s="82"/>
      <c r="HC114" s="28"/>
      <c r="HD114" s="11"/>
      <c r="HE114" s="44"/>
      <c r="HM114" s="10"/>
      <c r="KQ114" s="11"/>
      <c r="KX114" s="63"/>
      <c r="KY114" s="64"/>
      <c r="KZ114" s="64"/>
      <c r="LA114" s="64"/>
      <c r="LB114" s="64"/>
      <c r="LC114" s="64"/>
      <c r="LD114" s="64"/>
      <c r="LE114" s="64"/>
      <c r="LF114" s="64"/>
      <c r="LG114" s="64"/>
      <c r="LH114" s="64"/>
      <c r="LI114" s="64"/>
      <c r="LJ114" s="64"/>
      <c r="LK114" s="64"/>
      <c r="LL114" s="65"/>
      <c r="LP114" s="11"/>
    </row>
    <row r="115" spans="3:328" x14ac:dyDescent="0.25">
      <c r="C115" s="143"/>
      <c r="D115" s="143"/>
      <c r="E115" s="143"/>
      <c r="F115" s="143"/>
      <c r="G115" s="143"/>
      <c r="H115" s="143"/>
      <c r="I115" s="143"/>
      <c r="J115" s="9"/>
      <c r="O115" s="10"/>
      <c r="P115" s="50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2"/>
      <c r="BB115" s="30"/>
      <c r="BC115" s="12"/>
      <c r="BD115" s="12"/>
      <c r="BE115" s="12"/>
      <c r="BF115" s="12"/>
      <c r="BG115" s="12"/>
      <c r="BH115" s="12"/>
      <c r="BI115" s="12"/>
      <c r="BJ115" s="12"/>
      <c r="BK115" s="31"/>
      <c r="BN115" s="30"/>
      <c r="BO115" s="12"/>
      <c r="BP115" s="12"/>
      <c r="BQ115" s="12"/>
      <c r="BR115" s="12"/>
      <c r="BS115" s="12"/>
      <c r="BT115" s="12"/>
      <c r="BU115" s="12"/>
      <c r="BV115" s="12"/>
      <c r="BW115" s="31"/>
      <c r="BZ115" s="30"/>
      <c r="CA115" s="12"/>
      <c r="CB115" s="12"/>
      <c r="CC115" s="12"/>
      <c r="CD115" s="12"/>
      <c r="CE115" s="12"/>
      <c r="CF115" s="12"/>
      <c r="CG115" s="12"/>
      <c r="CH115" s="12"/>
      <c r="CI115" s="31"/>
      <c r="CL115" s="30"/>
      <c r="CM115" s="12"/>
      <c r="CN115" s="12"/>
      <c r="CO115" s="12"/>
      <c r="CP115" s="12"/>
      <c r="CQ115" s="12"/>
      <c r="CR115" s="12"/>
      <c r="CS115" s="12"/>
      <c r="CT115" s="12"/>
      <c r="CU115" s="31"/>
      <c r="CX115" s="30"/>
      <c r="CY115" s="12"/>
      <c r="CZ115" s="12"/>
      <c r="DA115" s="12"/>
      <c r="DB115" s="12"/>
      <c r="DC115" s="12"/>
      <c r="DD115" s="12"/>
      <c r="DE115" s="12"/>
      <c r="DF115" s="12"/>
      <c r="DG115" s="31"/>
      <c r="DH115" s="11"/>
      <c r="DO115" s="10"/>
      <c r="DP115" s="86"/>
      <c r="DQ115" s="87"/>
      <c r="DR115" s="87"/>
      <c r="DS115" s="87"/>
      <c r="DT115" s="87"/>
      <c r="DU115" s="87"/>
      <c r="DV115" s="87"/>
      <c r="DW115" s="87"/>
      <c r="DX115" s="87"/>
      <c r="DY115" s="88"/>
      <c r="EB115" s="30"/>
      <c r="EC115" s="12"/>
      <c r="ED115" s="12"/>
      <c r="EE115" s="12"/>
      <c r="EF115" s="12"/>
      <c r="EG115" s="12"/>
      <c r="EH115" s="12"/>
      <c r="EI115" s="12"/>
      <c r="EJ115" s="12"/>
      <c r="EK115" s="31"/>
      <c r="EN115" s="30"/>
      <c r="EO115" s="12"/>
      <c r="EP115" s="12"/>
      <c r="EQ115" s="12"/>
      <c r="ER115" s="12"/>
      <c r="ES115" s="12"/>
      <c r="ET115" s="12"/>
      <c r="EU115" s="12"/>
      <c r="EV115" s="12"/>
      <c r="EW115" s="31"/>
      <c r="EZ115" s="30"/>
      <c r="FA115" s="12"/>
      <c r="FB115" s="12"/>
      <c r="FC115" s="12"/>
      <c r="FD115" s="12"/>
      <c r="FE115" s="12"/>
      <c r="FF115" s="12"/>
      <c r="FG115" s="12"/>
      <c r="FH115" s="12"/>
      <c r="FI115" s="31"/>
      <c r="FL115" s="30"/>
      <c r="FM115" s="12"/>
      <c r="FN115" s="12"/>
      <c r="FO115" s="12"/>
      <c r="FP115" s="12"/>
      <c r="FQ115" s="12"/>
      <c r="FR115" s="12"/>
      <c r="FS115" s="12"/>
      <c r="FT115" s="12"/>
      <c r="FU115" s="31"/>
      <c r="FX115" s="30"/>
      <c r="FY115" s="12"/>
      <c r="FZ115" s="12"/>
      <c r="GA115" s="12"/>
      <c r="GB115" s="12"/>
      <c r="GC115" s="12"/>
      <c r="GD115" s="12"/>
      <c r="GE115" s="12"/>
      <c r="GF115" s="12"/>
      <c r="GG115" s="31"/>
      <c r="GI115" s="30"/>
      <c r="GJ115" s="12"/>
      <c r="GK115" s="12"/>
      <c r="GL115" s="12"/>
      <c r="GM115" s="12"/>
      <c r="GN115" s="12"/>
      <c r="GO115" s="12"/>
      <c r="GP115" s="12"/>
      <c r="GQ115" s="12"/>
      <c r="GR115" s="31"/>
      <c r="GT115" s="11"/>
      <c r="GU115" s="30"/>
      <c r="GV115" s="12"/>
      <c r="GW115" s="12"/>
      <c r="GX115" s="12"/>
      <c r="GY115" s="12"/>
      <c r="GZ115" s="12"/>
      <c r="HA115" s="12"/>
      <c r="HB115" s="12"/>
      <c r="HC115" s="12"/>
      <c r="HD115" s="31"/>
      <c r="HE115" s="44"/>
      <c r="HM115" s="10"/>
      <c r="KQ115" s="11"/>
      <c r="KX115" s="63"/>
      <c r="KY115" s="64"/>
      <c r="KZ115" s="64"/>
      <c r="LA115" s="64"/>
      <c r="LB115" s="64"/>
      <c r="LC115" s="64"/>
      <c r="LD115" s="64"/>
      <c r="LE115" s="64"/>
      <c r="LF115" s="64"/>
      <c r="LG115" s="64"/>
      <c r="LH115" s="64"/>
      <c r="LI115" s="64"/>
      <c r="LJ115" s="64"/>
      <c r="LK115" s="64"/>
      <c r="LL115" s="65"/>
      <c r="LP115" s="11"/>
    </row>
    <row r="116" spans="3:328" x14ac:dyDescent="0.25">
      <c r="C116" s="143"/>
      <c r="D116" s="143"/>
      <c r="E116" s="143"/>
      <c r="F116" s="143"/>
      <c r="G116" s="143"/>
      <c r="H116" s="143"/>
      <c r="I116" s="143"/>
      <c r="J116" s="9"/>
      <c r="O116" s="10"/>
      <c r="DE116" s="5"/>
      <c r="DH116" s="11"/>
      <c r="DO116" s="10"/>
      <c r="HE116" s="11"/>
      <c r="HM116" s="10"/>
      <c r="KQ116" s="11"/>
      <c r="KX116" s="63"/>
      <c r="KY116" s="64"/>
      <c r="KZ116" s="64"/>
      <c r="LA116" s="64"/>
      <c r="LB116" s="64"/>
      <c r="LC116" s="64"/>
      <c r="LD116" s="64"/>
      <c r="LE116" s="64"/>
      <c r="LF116" s="64"/>
      <c r="LG116" s="64"/>
      <c r="LH116" s="64"/>
      <c r="LI116" s="64"/>
      <c r="LJ116" s="64"/>
      <c r="LK116" s="64"/>
      <c r="LL116" s="65"/>
      <c r="LP116" s="11"/>
    </row>
    <row r="117" spans="3:328" x14ac:dyDescent="0.25">
      <c r="C117" s="143"/>
      <c r="D117" s="143"/>
      <c r="E117" s="143"/>
      <c r="F117" s="143"/>
      <c r="G117" s="143"/>
      <c r="H117" s="143"/>
      <c r="I117" s="143"/>
      <c r="J117" s="9"/>
      <c r="O117" s="10"/>
      <c r="BW117" t="s">
        <v>257</v>
      </c>
      <c r="DH117" s="11"/>
      <c r="DO117" s="10"/>
      <c r="FK117" t="s">
        <v>259</v>
      </c>
      <c r="GV117" s="117" t="s">
        <v>277</v>
      </c>
      <c r="HE117" s="11"/>
      <c r="HM117" s="10"/>
      <c r="KQ117" s="11"/>
      <c r="KX117" s="63"/>
      <c r="KY117" s="64"/>
      <c r="KZ117" s="64"/>
      <c r="LA117" s="64"/>
      <c r="LB117" s="64"/>
      <c r="LC117" s="64"/>
      <c r="LD117" s="64"/>
      <c r="LE117" s="64"/>
      <c r="LF117" s="64"/>
      <c r="LG117" s="64"/>
      <c r="LH117" s="64"/>
      <c r="LI117" s="64"/>
      <c r="LJ117" s="64"/>
      <c r="LK117" s="64"/>
      <c r="LL117" s="65"/>
      <c r="LP117" s="11"/>
    </row>
    <row r="118" spans="3:328" x14ac:dyDescent="0.25">
      <c r="C118" s="143"/>
      <c r="D118" s="143"/>
      <c r="E118" s="143"/>
      <c r="F118" s="143"/>
      <c r="G118" s="143"/>
      <c r="H118" s="143"/>
      <c r="I118" s="143"/>
      <c r="J118" s="9"/>
      <c r="O118" s="10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31"/>
      <c r="DO118" s="30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31"/>
      <c r="HM118" s="30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/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/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/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/>
      <c r="KJ118" s="12"/>
      <c r="KK118" s="12"/>
      <c r="KL118" s="12"/>
      <c r="KM118" s="12"/>
      <c r="KN118" s="12"/>
      <c r="KO118" s="12"/>
      <c r="KP118" s="12"/>
      <c r="KQ118" s="31"/>
      <c r="KX118" s="73"/>
      <c r="KY118" s="74"/>
      <c r="KZ118" s="74"/>
      <c r="LA118" s="74"/>
      <c r="LB118" s="74"/>
      <c r="LC118" s="74"/>
      <c r="LD118" s="74"/>
      <c r="LE118" s="74"/>
      <c r="LF118" s="74"/>
      <c r="LG118" s="74"/>
      <c r="LH118" s="74"/>
      <c r="LI118" s="74"/>
      <c r="LJ118" s="74"/>
      <c r="LK118" s="74"/>
      <c r="LL118" s="75"/>
      <c r="LP118" s="11"/>
    </row>
    <row r="119" spans="3:328" x14ac:dyDescent="0.25">
      <c r="C119" s="143"/>
      <c r="D119" s="143"/>
      <c r="E119" s="143"/>
      <c r="F119" s="143"/>
      <c r="G119" s="143"/>
      <c r="H119" s="143"/>
      <c r="I119" s="143"/>
      <c r="J119" s="9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LP119" s="11"/>
    </row>
    <row r="120" spans="3:328" x14ac:dyDescent="0.25">
      <c r="C120" s="143"/>
      <c r="D120" s="143"/>
      <c r="E120" s="143"/>
      <c r="F120" s="143"/>
      <c r="G120" s="143"/>
      <c r="H120" s="143"/>
      <c r="I120" s="143"/>
      <c r="J120" s="9"/>
      <c r="LP120" s="11"/>
    </row>
    <row r="121" spans="3:328" x14ac:dyDescent="0.25">
      <c r="C121" s="143"/>
      <c r="D121" s="143"/>
      <c r="E121" s="143"/>
      <c r="F121" s="143"/>
      <c r="G121" s="143"/>
      <c r="H121" s="143"/>
      <c r="I121" s="143"/>
      <c r="J121" s="9"/>
      <c r="LP121" s="11"/>
    </row>
    <row r="122" spans="3:328" x14ac:dyDescent="0.25">
      <c r="C122" s="143"/>
      <c r="D122" s="143"/>
      <c r="E122" s="143"/>
      <c r="F122" s="143"/>
      <c r="G122" s="143"/>
      <c r="H122" s="143"/>
      <c r="I122" s="143"/>
      <c r="J122" s="9"/>
      <c r="LP122" s="11"/>
    </row>
    <row r="123" spans="3:328" x14ac:dyDescent="0.25">
      <c r="C123" s="143"/>
      <c r="D123" s="143"/>
      <c r="E123" s="143"/>
      <c r="F123" s="143"/>
      <c r="G123" s="143"/>
      <c r="H123" s="143"/>
      <c r="I123" s="143"/>
      <c r="J123" s="9"/>
      <c r="LP123" s="11"/>
    </row>
    <row r="124" spans="3:328" x14ac:dyDescent="0.25">
      <c r="C124" s="143"/>
      <c r="D124" s="143"/>
      <c r="E124" s="143"/>
      <c r="F124" s="143"/>
      <c r="G124" s="143"/>
      <c r="H124" s="143"/>
      <c r="I124" s="143"/>
      <c r="J124" s="9"/>
      <c r="LP124" s="11"/>
    </row>
    <row r="125" spans="3:328" x14ac:dyDescent="0.25">
      <c r="C125" s="143"/>
      <c r="D125" s="143"/>
      <c r="E125" s="143"/>
      <c r="F125" s="143"/>
      <c r="G125" s="143"/>
      <c r="H125" s="143"/>
      <c r="I125" s="143"/>
      <c r="J125" s="9"/>
      <c r="LP125" s="11"/>
    </row>
    <row r="126" spans="3:328" x14ac:dyDescent="0.25">
      <c r="C126" s="143"/>
      <c r="D126" s="143"/>
      <c r="E126" s="143"/>
      <c r="F126" s="143"/>
      <c r="G126" s="143"/>
      <c r="H126" s="143"/>
      <c r="I126" s="143"/>
      <c r="J126" s="9"/>
      <c r="O126" s="4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6"/>
      <c r="DO126" s="4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6"/>
      <c r="HM126" s="4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6"/>
      <c r="KX126" s="54"/>
      <c r="KY126" s="55"/>
      <c r="KZ126" s="55"/>
      <c r="LA126" s="55"/>
      <c r="LB126" s="55"/>
      <c r="LC126" s="55"/>
      <c r="LD126" s="55"/>
      <c r="LE126" s="55"/>
      <c r="LF126" s="55"/>
      <c r="LG126" s="55"/>
      <c r="LH126" s="55"/>
      <c r="LI126" s="55"/>
      <c r="LJ126" s="55"/>
      <c r="LK126" s="55"/>
      <c r="LL126" s="56"/>
      <c r="LP126" s="11"/>
    </row>
    <row r="127" spans="3:328" x14ac:dyDescent="0.25">
      <c r="C127" s="8"/>
      <c r="D127" s="8"/>
      <c r="E127" s="8"/>
      <c r="F127" s="8"/>
      <c r="G127" s="8"/>
      <c r="H127" s="8"/>
      <c r="I127" s="8"/>
      <c r="J127" s="9"/>
      <c r="O127" s="10"/>
      <c r="DH127" s="11"/>
      <c r="DO127" s="10"/>
      <c r="HE127" s="11"/>
      <c r="HM127" s="10"/>
      <c r="KQ127" s="11"/>
      <c r="KX127" s="63"/>
      <c r="KY127" s="64"/>
      <c r="KZ127" s="64"/>
      <c r="LA127" s="64"/>
      <c r="LB127" s="64"/>
      <c r="LC127" s="64"/>
      <c r="LD127" s="64"/>
      <c r="LE127" s="64"/>
      <c r="LF127" s="64"/>
      <c r="LG127" s="64"/>
      <c r="LH127" s="64"/>
      <c r="LI127" s="64"/>
      <c r="LJ127" s="64"/>
      <c r="LK127" s="64"/>
      <c r="LL127" s="65"/>
      <c r="LP127" s="11"/>
    </row>
    <row r="128" spans="3:328" x14ac:dyDescent="0.25">
      <c r="C128" s="8"/>
      <c r="D128" s="8"/>
      <c r="E128" s="8"/>
      <c r="F128" s="8"/>
      <c r="G128" s="8"/>
      <c r="H128" s="8"/>
      <c r="I128" s="8"/>
      <c r="J128" s="9"/>
      <c r="O128" s="10"/>
      <c r="P128" s="4"/>
      <c r="Q128" s="5"/>
      <c r="R128" s="5"/>
      <c r="S128" s="5"/>
      <c r="T128" s="6"/>
      <c r="W128" s="4"/>
      <c r="X128" s="5"/>
      <c r="Y128" s="5"/>
      <c r="Z128" s="5"/>
      <c r="AA128" s="5"/>
      <c r="AB128" s="5"/>
      <c r="AC128" s="5"/>
      <c r="AD128" s="5"/>
      <c r="AE128" s="6"/>
      <c r="AH128" s="4"/>
      <c r="AI128" s="5"/>
      <c r="AJ128" s="5"/>
      <c r="AK128" s="5"/>
      <c r="AL128" s="5"/>
      <c r="AM128" s="5"/>
      <c r="AN128" s="5"/>
      <c r="AO128" s="5"/>
      <c r="AP128" s="6"/>
      <c r="AS128" s="4"/>
      <c r="AT128" s="5"/>
      <c r="AU128" s="5"/>
      <c r="AV128" s="5"/>
      <c r="AW128" s="5"/>
      <c r="AX128" s="5"/>
      <c r="AY128" s="5"/>
      <c r="AZ128" s="5"/>
      <c r="BA128" s="6"/>
      <c r="BD128" s="4"/>
      <c r="BE128" s="5"/>
      <c r="BF128" s="5"/>
      <c r="BG128" s="5"/>
      <c r="BH128" s="5"/>
      <c r="BI128" s="5"/>
      <c r="BJ128" s="5"/>
      <c r="BK128" s="5"/>
      <c r="BL128" s="6"/>
      <c r="BO128" s="4"/>
      <c r="BP128" s="5"/>
      <c r="BQ128" s="5"/>
      <c r="BR128" s="5"/>
      <c r="BS128" s="5"/>
      <c r="BT128" s="5"/>
      <c r="BU128" s="5"/>
      <c r="BV128" s="5"/>
      <c r="BW128" s="6"/>
      <c r="BZ128" s="4"/>
      <c r="CA128" s="5"/>
      <c r="CB128" s="5"/>
      <c r="CC128" s="5"/>
      <c r="CD128" s="5"/>
      <c r="CE128" s="5"/>
      <c r="CF128" s="5"/>
      <c r="CG128" s="5"/>
      <c r="CH128" s="6"/>
      <c r="CK128" s="4"/>
      <c r="CL128" s="5"/>
      <c r="CM128" s="5"/>
      <c r="CN128" s="5"/>
      <c r="CO128" s="5"/>
      <c r="CP128" s="5"/>
      <c r="CQ128" s="5"/>
      <c r="CR128" s="5"/>
      <c r="CS128" s="6"/>
      <c r="CX128" s="60"/>
      <c r="CY128" s="61"/>
      <c r="CZ128" s="61"/>
      <c r="DA128" s="61"/>
      <c r="DB128" s="61"/>
      <c r="DC128" s="61"/>
      <c r="DD128" s="61"/>
      <c r="DE128" s="61"/>
      <c r="DF128" s="62"/>
      <c r="DH128" s="11"/>
      <c r="DO128" s="10"/>
      <c r="DP128" s="4"/>
      <c r="DQ128" s="5"/>
      <c r="DR128" s="5"/>
      <c r="DS128" s="5"/>
      <c r="DT128" s="5"/>
      <c r="DU128" s="5"/>
      <c r="DV128" s="5"/>
      <c r="DW128" s="6"/>
      <c r="DZ128" s="4"/>
      <c r="EA128" s="5"/>
      <c r="EB128" s="5"/>
      <c r="EC128" s="5"/>
      <c r="ED128" s="5"/>
      <c r="EE128" s="5"/>
      <c r="EF128" s="5"/>
      <c r="EG128" s="6"/>
      <c r="EJ128" s="4"/>
      <c r="EK128" s="5"/>
      <c r="EL128" s="5"/>
      <c r="EM128" s="5"/>
      <c r="EN128" s="5"/>
      <c r="EO128" s="5"/>
      <c r="EP128" s="5"/>
      <c r="EQ128" s="6"/>
      <c r="ET128" s="4"/>
      <c r="EU128" s="5"/>
      <c r="EV128" s="5"/>
      <c r="EW128" s="5"/>
      <c r="EX128" s="5"/>
      <c r="EY128" s="5"/>
      <c r="EZ128" s="5"/>
      <c r="FA128" s="6"/>
      <c r="FD128" s="4"/>
      <c r="FE128" s="5"/>
      <c r="FF128" s="5"/>
      <c r="FG128" s="5"/>
      <c r="FH128" s="5"/>
      <c r="FI128" s="5"/>
      <c r="FJ128" s="5"/>
      <c r="FK128" s="6"/>
      <c r="FN128" s="4"/>
      <c r="FO128" s="5"/>
      <c r="FP128" s="5"/>
      <c r="FQ128" s="5"/>
      <c r="FR128" s="5"/>
      <c r="FS128" s="5"/>
      <c r="FT128" s="5"/>
      <c r="FU128" s="5"/>
      <c r="FV128" s="5"/>
      <c r="FW128" s="6"/>
      <c r="FZ128" s="4"/>
      <c r="GA128" s="5"/>
      <c r="GB128" s="5"/>
      <c r="GC128" s="5"/>
      <c r="GD128" s="5"/>
      <c r="GE128" s="5"/>
      <c r="GF128" s="5"/>
      <c r="GG128" s="5"/>
      <c r="GH128" s="5"/>
      <c r="GI128" s="6"/>
      <c r="GL128" s="4"/>
      <c r="GM128" s="5"/>
      <c r="GN128" s="5"/>
      <c r="GO128" s="5"/>
      <c r="GP128" s="5"/>
      <c r="GQ128" s="5"/>
      <c r="GR128" s="5"/>
      <c r="GS128" s="5"/>
      <c r="GT128" s="5"/>
      <c r="GU128" s="6"/>
      <c r="GX128" s="66"/>
      <c r="GY128" s="66"/>
      <c r="GZ128" s="66"/>
      <c r="HA128" s="66"/>
      <c r="HB128" s="66"/>
      <c r="HC128" s="66"/>
      <c r="HD128" s="66"/>
      <c r="HE128" s="11"/>
      <c r="HM128" s="10"/>
      <c r="KQ128" s="11"/>
      <c r="KX128" s="63"/>
      <c r="KY128" s="64"/>
      <c r="KZ128" s="64"/>
      <c r="LA128" s="64"/>
      <c r="LB128" s="64"/>
      <c r="LC128" s="64"/>
      <c r="LD128" s="64"/>
      <c r="LE128" s="64"/>
      <c r="LF128" s="64"/>
      <c r="LG128" s="64"/>
      <c r="LH128" s="64"/>
      <c r="LI128" s="64"/>
      <c r="LJ128" s="64"/>
      <c r="LK128" s="64"/>
      <c r="LL128" s="65"/>
      <c r="LP128" s="11"/>
    </row>
    <row r="129" spans="3:328" x14ac:dyDescent="0.25">
      <c r="C129" s="8"/>
      <c r="D129" s="8"/>
      <c r="E129" s="8"/>
      <c r="F129" s="8"/>
      <c r="G129" s="8"/>
      <c r="H129" s="8"/>
      <c r="I129" s="8"/>
      <c r="J129" s="9"/>
      <c r="O129" s="10"/>
      <c r="P129" s="10"/>
      <c r="T129" s="11"/>
      <c r="W129" s="10"/>
      <c r="AE129" s="11"/>
      <c r="AH129" s="10"/>
      <c r="AM129" s="27"/>
      <c r="AO129" s="28"/>
      <c r="AP129" s="11"/>
      <c r="AS129" s="10"/>
      <c r="AX129" s="27"/>
      <c r="AZ129" s="28"/>
      <c r="BA129" s="11"/>
      <c r="BD129" s="10"/>
      <c r="BI129" s="27"/>
      <c r="BK129" s="28"/>
      <c r="BL129" s="11"/>
      <c r="BO129" s="10"/>
      <c r="BT129" s="27"/>
      <c r="BV129" s="28"/>
      <c r="BW129" s="11"/>
      <c r="BZ129" s="10"/>
      <c r="CE129" s="27"/>
      <c r="CG129" s="28"/>
      <c r="CH129" s="11"/>
      <c r="CK129" s="10"/>
      <c r="CP129" s="27"/>
      <c r="CR129" s="28"/>
      <c r="CS129" s="11"/>
      <c r="CX129" s="76"/>
      <c r="CY129" s="77"/>
      <c r="CZ129" s="77"/>
      <c r="DA129" s="77"/>
      <c r="DB129" s="77"/>
      <c r="DC129" s="77"/>
      <c r="DD129" s="77"/>
      <c r="DE129" s="77"/>
      <c r="DF129" s="78"/>
      <c r="DH129" s="11"/>
      <c r="DO129" s="10"/>
      <c r="DP129" s="10"/>
      <c r="DT129" s="27"/>
      <c r="DV129" s="28"/>
      <c r="DW129" s="11"/>
      <c r="DZ129" s="10"/>
      <c r="ED129" s="27"/>
      <c r="EF129" s="28"/>
      <c r="EG129" s="11"/>
      <c r="EJ129" s="10"/>
      <c r="EN129" s="27"/>
      <c r="EP129" s="28"/>
      <c r="EQ129" s="11"/>
      <c r="ET129" s="10"/>
      <c r="EX129" s="27"/>
      <c r="EZ129" s="28"/>
      <c r="FA129" s="11"/>
      <c r="FD129" s="10"/>
      <c r="FH129" s="27"/>
      <c r="FJ129" s="28"/>
      <c r="FK129" s="11"/>
      <c r="FN129" s="10"/>
      <c r="FO129" s="27"/>
      <c r="FQ129" s="28"/>
      <c r="FT129" s="27"/>
      <c r="FV129" s="28"/>
      <c r="FW129" s="11"/>
      <c r="FZ129" s="10"/>
      <c r="GA129" s="27"/>
      <c r="GC129" s="28"/>
      <c r="GF129" s="27"/>
      <c r="GH129" s="28"/>
      <c r="GI129" s="11"/>
      <c r="GL129" s="10"/>
      <c r="GM129" s="27"/>
      <c r="GO129" s="28"/>
      <c r="GR129" s="72"/>
      <c r="GT129" s="72"/>
      <c r="GU129" s="11"/>
      <c r="GX129" s="66"/>
      <c r="GY129" s="66"/>
      <c r="GZ129" s="66"/>
      <c r="HA129" s="66"/>
      <c r="HB129" s="66"/>
      <c r="HC129" s="66"/>
      <c r="HD129" s="66"/>
      <c r="HE129" s="11"/>
      <c r="HM129" s="10"/>
      <c r="KQ129" s="11"/>
      <c r="KX129" s="63"/>
      <c r="KY129" s="64"/>
      <c r="KZ129" s="64"/>
      <c r="LA129" s="64"/>
      <c r="LB129" s="64"/>
      <c r="LC129" s="64"/>
      <c r="LD129" s="64"/>
      <c r="LE129" s="64"/>
      <c r="LF129" s="64"/>
      <c r="LG129" s="64"/>
      <c r="LH129" s="64"/>
      <c r="LI129" s="64"/>
      <c r="LJ129" s="64"/>
      <c r="LK129" s="64"/>
      <c r="LL129" s="65"/>
      <c r="LP129" s="11"/>
    </row>
    <row r="130" spans="3:328" x14ac:dyDescent="0.25">
      <c r="C130" s="8"/>
      <c r="D130" s="8"/>
      <c r="E130" s="8"/>
      <c r="F130" s="8"/>
      <c r="G130" s="8"/>
      <c r="H130" s="8"/>
      <c r="I130" s="8"/>
      <c r="J130" s="9"/>
      <c r="O130" s="10"/>
      <c r="P130" s="10"/>
      <c r="T130" s="11"/>
      <c r="W130" s="10"/>
      <c r="AE130" s="11"/>
      <c r="AH130" s="10"/>
      <c r="AM130" s="27"/>
      <c r="AO130" s="28"/>
      <c r="AP130" s="11"/>
      <c r="AS130" s="10"/>
      <c r="AX130" s="27"/>
      <c r="AZ130" s="28"/>
      <c r="BA130" s="11"/>
      <c r="BD130" s="10"/>
      <c r="BI130" s="27"/>
      <c r="BK130" s="28"/>
      <c r="BL130" s="11"/>
      <c r="BO130" s="10"/>
      <c r="BT130" s="27"/>
      <c r="BV130" s="28"/>
      <c r="BW130" s="11"/>
      <c r="BZ130" s="10"/>
      <c r="CE130" s="27"/>
      <c r="CG130" s="28"/>
      <c r="CH130" s="11"/>
      <c r="CK130" s="10"/>
      <c r="CP130" s="27"/>
      <c r="CR130" s="28"/>
      <c r="CS130" s="11"/>
      <c r="DH130" s="11"/>
      <c r="DO130" s="10"/>
      <c r="DP130" s="10"/>
      <c r="DT130" s="27"/>
      <c r="DV130" s="28"/>
      <c r="DW130" s="11"/>
      <c r="DZ130" s="10"/>
      <c r="ED130" s="27"/>
      <c r="EF130" s="28"/>
      <c r="EG130" s="11"/>
      <c r="EJ130" s="10"/>
      <c r="EN130" s="27"/>
      <c r="EP130" s="28"/>
      <c r="EQ130" s="11"/>
      <c r="ET130" s="10"/>
      <c r="EX130" s="27"/>
      <c r="EZ130" s="28"/>
      <c r="FA130" s="11"/>
      <c r="FD130" s="10"/>
      <c r="FH130" s="27"/>
      <c r="FJ130" s="28"/>
      <c r="FK130" s="11"/>
      <c r="FN130" s="10"/>
      <c r="FO130" s="27"/>
      <c r="FQ130" s="28"/>
      <c r="FT130" s="27"/>
      <c r="FV130" s="28"/>
      <c r="FW130" s="11"/>
      <c r="FZ130" s="10"/>
      <c r="GA130" s="27"/>
      <c r="GC130" s="28"/>
      <c r="GF130" s="27"/>
      <c r="GH130" s="28"/>
      <c r="GI130" s="11"/>
      <c r="GL130" s="10"/>
      <c r="GM130" s="27"/>
      <c r="GO130" s="28"/>
      <c r="GR130" s="72"/>
      <c r="GT130" s="72"/>
      <c r="GU130" s="11"/>
      <c r="HE130" s="11"/>
      <c r="HM130" s="10"/>
      <c r="KQ130" s="11"/>
      <c r="KX130" s="63"/>
      <c r="KY130" s="64"/>
      <c r="KZ130" s="64"/>
      <c r="LA130" s="64"/>
      <c r="LB130" s="64"/>
      <c r="LC130" s="64"/>
      <c r="LD130" s="64"/>
      <c r="LE130" s="64"/>
      <c r="LF130" s="64"/>
      <c r="LG130" s="64"/>
      <c r="LH130" s="64"/>
      <c r="LI130" s="64"/>
      <c r="LJ130" s="64"/>
      <c r="LK130" s="64"/>
      <c r="LL130" s="65"/>
      <c r="LP130" s="11"/>
    </row>
    <row r="131" spans="3:328" x14ac:dyDescent="0.25">
      <c r="C131" s="8"/>
      <c r="D131" s="8"/>
      <c r="E131" s="8"/>
      <c r="F131" s="8"/>
      <c r="G131" s="8"/>
      <c r="H131" s="8"/>
      <c r="I131" s="8"/>
      <c r="J131" s="9"/>
      <c r="O131" s="10"/>
      <c r="P131" s="10"/>
      <c r="T131" s="11"/>
      <c r="W131" s="10"/>
      <c r="AE131" s="11"/>
      <c r="AH131" s="10"/>
      <c r="AM131" s="82"/>
      <c r="AO131" s="28"/>
      <c r="AP131" s="11"/>
      <c r="AS131" s="10"/>
      <c r="AX131" s="82"/>
      <c r="AZ131" s="28"/>
      <c r="BA131" s="11"/>
      <c r="BD131" s="10"/>
      <c r="BI131" s="82"/>
      <c r="BK131" s="28"/>
      <c r="BL131" s="11"/>
      <c r="BO131" s="10"/>
      <c r="BT131" s="82"/>
      <c r="BV131" s="28"/>
      <c r="BW131" s="11"/>
      <c r="BZ131" s="10"/>
      <c r="CE131" s="82"/>
      <c r="CG131" s="28"/>
      <c r="CH131" s="11"/>
      <c r="CK131" s="10"/>
      <c r="CP131" s="82"/>
      <c r="CR131" s="28"/>
      <c r="CS131" s="11"/>
      <c r="DE131" s="33"/>
      <c r="DH131" s="11"/>
      <c r="DO131" s="10"/>
      <c r="DP131" s="10"/>
      <c r="DT131" s="82"/>
      <c r="DV131" s="28"/>
      <c r="DW131" s="11"/>
      <c r="DZ131" s="10"/>
      <c r="ED131" s="82"/>
      <c r="EF131" s="28"/>
      <c r="EG131" s="11"/>
      <c r="EJ131" s="10"/>
      <c r="EN131" s="82"/>
      <c r="EP131" s="28"/>
      <c r="EQ131" s="11"/>
      <c r="ET131" s="10"/>
      <c r="EX131" s="82"/>
      <c r="EZ131" s="28"/>
      <c r="FA131" s="11"/>
      <c r="FD131" s="10"/>
      <c r="FH131" s="82"/>
      <c r="FJ131" s="28"/>
      <c r="FK131" s="11"/>
      <c r="FN131" s="10"/>
      <c r="FO131" s="82"/>
      <c r="FQ131" s="28"/>
      <c r="FT131" s="82"/>
      <c r="FV131" s="28"/>
      <c r="FW131" s="11"/>
      <c r="FZ131" s="10"/>
      <c r="GA131" s="82"/>
      <c r="GC131" s="28"/>
      <c r="GF131" s="82"/>
      <c r="GH131" s="28"/>
      <c r="GI131" s="11"/>
      <c r="GL131" s="10"/>
      <c r="GM131" s="82"/>
      <c r="GO131" s="28"/>
      <c r="GR131" s="72"/>
      <c r="GT131" s="72"/>
      <c r="GU131" s="11"/>
      <c r="HE131" s="11"/>
      <c r="HM131" s="10"/>
      <c r="KQ131" s="11"/>
      <c r="KX131" s="63"/>
      <c r="KY131" s="64"/>
      <c r="KZ131" s="64"/>
      <c r="LA131" s="64"/>
      <c r="LB131" s="64"/>
      <c r="LC131" s="64"/>
      <c r="LD131" s="64"/>
      <c r="LE131" s="64"/>
      <c r="LF131" s="64"/>
      <c r="LG131" s="64"/>
      <c r="LH131" s="64"/>
      <c r="LI131" s="64"/>
      <c r="LJ131" s="64"/>
      <c r="LK131" s="64"/>
      <c r="LL131" s="65"/>
      <c r="LP131" s="11"/>
    </row>
    <row r="132" spans="3:328" ht="15" customHeight="1" x14ac:dyDescent="0.25">
      <c r="C132" s="8"/>
      <c r="D132" s="8"/>
      <c r="E132" s="8"/>
      <c r="F132" s="8"/>
      <c r="G132" s="8"/>
      <c r="H132" s="8"/>
      <c r="I132" s="8"/>
      <c r="J132" s="9"/>
      <c r="O132" s="10"/>
      <c r="P132" s="10"/>
      <c r="T132" s="11"/>
      <c r="W132" s="10"/>
      <c r="AE132" s="11"/>
      <c r="AH132" s="10"/>
      <c r="AM132" s="82"/>
      <c r="AO132" s="28"/>
      <c r="AP132" s="11"/>
      <c r="AS132" s="10"/>
      <c r="AX132" s="82"/>
      <c r="AZ132" s="28"/>
      <c r="BA132" s="11"/>
      <c r="BD132" s="10"/>
      <c r="BI132" s="82"/>
      <c r="BK132" s="28"/>
      <c r="BL132" s="11"/>
      <c r="BO132" s="10"/>
      <c r="BT132" s="82"/>
      <c r="BV132" s="28"/>
      <c r="BW132" s="11"/>
      <c r="BZ132" s="10"/>
      <c r="CE132" s="82"/>
      <c r="CG132" s="28"/>
      <c r="CH132" s="11"/>
      <c r="CK132" s="10"/>
      <c r="CP132" s="82"/>
      <c r="CR132" s="28"/>
      <c r="CS132" s="11"/>
      <c r="DB132" s="67"/>
      <c r="DC132" s="67"/>
      <c r="DD132" s="67"/>
      <c r="DE132" s="67"/>
      <c r="DF132" s="67"/>
      <c r="DG132" s="67"/>
      <c r="DH132" s="11"/>
      <c r="DO132" s="10"/>
      <c r="DP132" s="10"/>
      <c r="DT132" s="82"/>
      <c r="DV132" s="28"/>
      <c r="DW132" s="11"/>
      <c r="DZ132" s="10"/>
      <c r="ED132" s="82"/>
      <c r="EF132" s="28"/>
      <c r="EG132" s="11"/>
      <c r="EJ132" s="10"/>
      <c r="EN132" s="82"/>
      <c r="EP132" s="28"/>
      <c r="EQ132" s="11"/>
      <c r="ET132" s="10"/>
      <c r="EX132" s="82"/>
      <c r="EZ132" s="28"/>
      <c r="FA132" s="11"/>
      <c r="FD132" s="10"/>
      <c r="FH132" s="82"/>
      <c r="FJ132" s="28"/>
      <c r="FK132" s="11"/>
      <c r="FN132" s="10"/>
      <c r="FO132" s="82"/>
      <c r="FQ132" s="28"/>
      <c r="FT132" s="82"/>
      <c r="FV132" s="28"/>
      <c r="FW132" s="11"/>
      <c r="FZ132" s="10"/>
      <c r="GA132" s="82"/>
      <c r="GC132" s="28"/>
      <c r="GF132" s="82"/>
      <c r="GH132" s="28"/>
      <c r="GI132" s="11"/>
      <c r="GL132" s="10"/>
      <c r="GM132" s="82"/>
      <c r="GO132" s="28"/>
      <c r="GR132" s="72"/>
      <c r="GT132" s="72"/>
      <c r="GU132" s="11"/>
      <c r="GX132" s="4"/>
      <c r="GY132" s="5"/>
      <c r="GZ132" s="5"/>
      <c r="HA132" s="79"/>
      <c r="HB132" s="79"/>
      <c r="HC132" s="79"/>
      <c r="HD132" s="80"/>
      <c r="HE132" s="11"/>
      <c r="HM132" s="10"/>
      <c r="KQ132" s="11"/>
      <c r="KX132" s="63"/>
      <c r="KY132" s="64"/>
      <c r="KZ132" s="64"/>
      <c r="LA132" s="64"/>
      <c r="LB132" s="68"/>
      <c r="LC132" s="69"/>
      <c r="LD132" s="69"/>
      <c r="LE132" s="69"/>
      <c r="LF132" s="69"/>
      <c r="LG132" s="69"/>
      <c r="LH132" s="69"/>
      <c r="LI132" s="64"/>
      <c r="LJ132" s="64"/>
      <c r="LK132" s="64"/>
      <c r="LL132" s="65"/>
      <c r="LP132" s="11"/>
    </row>
    <row r="133" spans="3:328" ht="15" customHeight="1" x14ac:dyDescent="0.25">
      <c r="C133" s="8"/>
      <c r="D133" s="8"/>
      <c r="E133" s="8"/>
      <c r="F133" s="8"/>
      <c r="G133" s="8"/>
      <c r="H133" s="8"/>
      <c r="I133" s="8"/>
      <c r="J133" s="9"/>
      <c r="O133" s="10"/>
      <c r="P133" s="10"/>
      <c r="T133" s="11"/>
      <c r="W133" s="10"/>
      <c r="AE133" s="11"/>
      <c r="AH133" s="10"/>
      <c r="AM133" s="82"/>
      <c r="AO133" s="28"/>
      <c r="AP133" s="11"/>
      <c r="AS133" s="10"/>
      <c r="AX133" s="82"/>
      <c r="AZ133" s="28"/>
      <c r="BA133" s="11"/>
      <c r="BD133" s="10"/>
      <c r="BI133" s="82"/>
      <c r="BK133" s="28"/>
      <c r="BL133" s="11"/>
      <c r="BO133" s="10"/>
      <c r="BT133" s="82"/>
      <c r="BV133" s="28"/>
      <c r="BW133" s="11"/>
      <c r="BZ133" s="10"/>
      <c r="CE133" s="82"/>
      <c r="CG133" s="28"/>
      <c r="CH133" s="11"/>
      <c r="CK133" s="10"/>
      <c r="CP133" s="82"/>
      <c r="CR133" s="28"/>
      <c r="CS133" s="11"/>
      <c r="DB133" s="67"/>
      <c r="DC133" s="67"/>
      <c r="DD133" s="67"/>
      <c r="DE133" s="67"/>
      <c r="DF133" s="67"/>
      <c r="DG133" s="67"/>
      <c r="DH133" s="11"/>
      <c r="DO133" s="10"/>
      <c r="DP133" s="10"/>
      <c r="DT133" s="82"/>
      <c r="DV133" s="28"/>
      <c r="DW133" s="11"/>
      <c r="DZ133" s="10"/>
      <c r="ED133" s="82"/>
      <c r="EF133" s="28"/>
      <c r="EG133" s="11"/>
      <c r="EJ133" s="10"/>
      <c r="EN133" s="82"/>
      <c r="EP133" s="28"/>
      <c r="EQ133" s="11"/>
      <c r="ET133" s="10"/>
      <c r="EX133" s="82"/>
      <c r="EZ133" s="28"/>
      <c r="FA133" s="11"/>
      <c r="FD133" s="10"/>
      <c r="FH133" s="82"/>
      <c r="FJ133" s="28"/>
      <c r="FK133" s="11"/>
      <c r="FN133" s="10"/>
      <c r="FO133" s="82"/>
      <c r="FQ133" s="28"/>
      <c r="FT133" s="82"/>
      <c r="FV133" s="28"/>
      <c r="FW133" s="11"/>
      <c r="FZ133" s="10"/>
      <c r="GA133" s="82"/>
      <c r="GC133" s="28"/>
      <c r="GF133" s="82"/>
      <c r="GH133" s="28"/>
      <c r="GI133" s="11"/>
      <c r="GL133" s="10"/>
      <c r="GM133" s="82"/>
      <c r="GO133" s="28"/>
      <c r="GR133" s="72"/>
      <c r="GT133" s="72"/>
      <c r="GU133" s="11"/>
      <c r="GX133" s="10"/>
      <c r="HA133" s="67"/>
      <c r="HB133" s="67"/>
      <c r="HC133" s="67"/>
      <c r="HD133" s="81"/>
      <c r="HE133" s="11"/>
      <c r="HM133" s="10"/>
      <c r="KQ133" s="11"/>
      <c r="KX133" s="63"/>
      <c r="KY133" s="64"/>
      <c r="KZ133" s="64"/>
      <c r="LA133" s="64"/>
      <c r="LB133" s="69"/>
      <c r="LC133" s="69"/>
      <c r="LD133" s="69"/>
      <c r="LE133" s="69"/>
      <c r="LF133" s="69"/>
      <c r="LG133" s="69"/>
      <c r="LH133" s="69"/>
      <c r="LI133" s="64"/>
      <c r="LJ133" s="64"/>
      <c r="LK133" s="64"/>
      <c r="LL133" s="65"/>
      <c r="LP133" s="11"/>
    </row>
    <row r="134" spans="3:328" ht="15" customHeight="1" x14ac:dyDescent="0.25">
      <c r="C134" s="8"/>
      <c r="D134" s="8"/>
      <c r="E134" s="8"/>
      <c r="F134" s="8"/>
      <c r="G134" s="8"/>
      <c r="H134" s="8"/>
      <c r="I134" s="8"/>
      <c r="J134" s="9"/>
      <c r="O134" s="10"/>
      <c r="P134" s="10"/>
      <c r="T134" s="11"/>
      <c r="W134" s="10"/>
      <c r="AE134" s="11"/>
      <c r="AH134" s="10"/>
      <c r="AP134" s="11"/>
      <c r="AS134" s="10"/>
      <c r="BA134" s="11"/>
      <c r="BD134" s="10"/>
      <c r="BL134" s="11"/>
      <c r="BO134" s="10"/>
      <c r="BW134" s="11"/>
      <c r="BZ134" s="10"/>
      <c r="CH134" s="11"/>
      <c r="CK134" s="10"/>
      <c r="CS134" s="11"/>
      <c r="CX134" s="4"/>
      <c r="CY134" s="5"/>
      <c r="CZ134" s="5"/>
      <c r="DA134" s="5"/>
      <c r="DB134" s="79"/>
      <c r="DC134" s="79"/>
      <c r="DD134" s="79"/>
      <c r="DE134" s="79"/>
      <c r="DF134" s="80"/>
      <c r="DG134" s="67"/>
      <c r="DH134" s="11"/>
      <c r="DO134" s="10"/>
      <c r="DP134" s="10"/>
      <c r="DW134" s="11"/>
      <c r="DZ134" s="10"/>
      <c r="EG134" s="11"/>
      <c r="EJ134" s="10"/>
      <c r="EQ134" s="11"/>
      <c r="ET134" s="10"/>
      <c r="FA134" s="11"/>
      <c r="FD134" s="10"/>
      <c r="FK134" s="11"/>
      <c r="FN134" s="10"/>
      <c r="FW134" s="11"/>
      <c r="FZ134" s="10"/>
      <c r="GI134" s="11"/>
      <c r="GL134" s="10"/>
      <c r="GU134" s="11"/>
      <c r="GX134" s="10"/>
      <c r="HA134" s="67"/>
      <c r="HB134" s="67"/>
      <c r="HC134" s="67"/>
      <c r="HD134" s="81"/>
      <c r="HE134" s="11"/>
      <c r="HM134" s="10"/>
      <c r="KQ134" s="11"/>
      <c r="KX134" s="63"/>
      <c r="KY134" s="64"/>
      <c r="KZ134" s="64"/>
      <c r="LA134" s="64"/>
      <c r="LB134" s="69"/>
      <c r="LC134" s="69"/>
      <c r="LD134" s="69"/>
      <c r="LE134" s="69"/>
      <c r="LF134" s="69"/>
      <c r="LG134" s="69"/>
      <c r="LH134" s="69"/>
      <c r="LI134" s="64"/>
      <c r="LJ134" s="64"/>
      <c r="LK134" s="64"/>
      <c r="LL134" s="65"/>
      <c r="LP134" s="11"/>
    </row>
    <row r="135" spans="3:328" ht="15" customHeight="1" x14ac:dyDescent="0.25">
      <c r="C135" s="8"/>
      <c r="D135" s="8"/>
      <c r="E135" s="8"/>
      <c r="F135" s="8"/>
      <c r="G135" s="8"/>
      <c r="H135" s="8"/>
      <c r="I135" s="8"/>
      <c r="J135" s="9"/>
      <c r="O135" s="10"/>
      <c r="P135" s="10"/>
      <c r="T135" s="11"/>
      <c r="W135" s="10"/>
      <c r="AB135" s="139">
        <v>235</v>
      </c>
      <c r="AC135" s="139"/>
      <c r="AD135" s="139"/>
      <c r="AE135" s="11"/>
      <c r="AH135" s="10"/>
      <c r="AM135" s="139">
        <v>236</v>
      </c>
      <c r="AN135" s="139"/>
      <c r="AO135" s="139"/>
      <c r="AP135" s="11"/>
      <c r="AS135" s="10"/>
      <c r="AX135" s="139">
        <v>237</v>
      </c>
      <c r="AY135" s="139"/>
      <c r="AZ135" s="139"/>
      <c r="BA135" s="11"/>
      <c r="BD135" s="10"/>
      <c r="BI135" s="139">
        <v>238</v>
      </c>
      <c r="BJ135" s="139"/>
      <c r="BK135" s="139"/>
      <c r="BL135" s="11"/>
      <c r="BO135" s="10"/>
      <c r="BT135" s="139">
        <v>239</v>
      </c>
      <c r="BU135" s="139"/>
      <c r="BV135" s="139"/>
      <c r="BW135" s="11"/>
      <c r="BZ135" s="10"/>
      <c r="CE135" s="139">
        <v>233</v>
      </c>
      <c r="CF135" s="139"/>
      <c r="CG135" s="139"/>
      <c r="CH135" s="11"/>
      <c r="CK135" s="10"/>
      <c r="CP135" s="139">
        <v>232</v>
      </c>
      <c r="CQ135" s="139"/>
      <c r="CR135" s="139"/>
      <c r="CS135" s="11"/>
      <c r="CX135" s="10"/>
      <c r="DB135" s="67"/>
      <c r="DC135" s="67"/>
      <c r="DD135" s="67"/>
      <c r="DE135" s="67"/>
      <c r="DF135" s="81"/>
      <c r="DG135" s="67"/>
      <c r="DH135" s="11"/>
      <c r="DO135" s="10"/>
      <c r="DP135" s="10"/>
      <c r="DT135" s="139">
        <v>234</v>
      </c>
      <c r="DU135" s="139"/>
      <c r="DV135" s="139"/>
      <c r="DW135" s="11"/>
      <c r="DZ135" s="10"/>
      <c r="ED135" s="139">
        <v>229</v>
      </c>
      <c r="EE135" s="139"/>
      <c r="EF135" s="139"/>
      <c r="EG135" s="11"/>
      <c r="EJ135" s="10"/>
      <c r="EN135" s="139">
        <v>230</v>
      </c>
      <c r="EO135" s="139"/>
      <c r="EP135" s="139"/>
      <c r="EQ135" s="11"/>
      <c r="ET135" s="10"/>
      <c r="EX135" s="139">
        <v>231</v>
      </c>
      <c r="EY135" s="139"/>
      <c r="EZ135" s="139"/>
      <c r="FA135" s="11"/>
      <c r="FD135" s="10"/>
      <c r="FH135" s="139">
        <v>240</v>
      </c>
      <c r="FI135" s="139"/>
      <c r="FJ135" s="139"/>
      <c r="FK135" s="11"/>
      <c r="FN135" s="10"/>
      <c r="FO135" s="139" t="s">
        <v>5</v>
      </c>
      <c r="FP135" s="139"/>
      <c r="FQ135" s="139"/>
      <c r="FR135" s="139"/>
      <c r="FS135" s="139"/>
      <c r="FT135" s="139"/>
      <c r="FU135" s="139"/>
      <c r="FV135" s="139"/>
      <c r="FW135" s="11"/>
      <c r="FZ135" s="10"/>
      <c r="GA135" s="139" t="s">
        <v>5</v>
      </c>
      <c r="GB135" s="139"/>
      <c r="GC135" s="139"/>
      <c r="GD135" s="139"/>
      <c r="GE135" s="139"/>
      <c r="GF135" s="139"/>
      <c r="GG135" s="139"/>
      <c r="GH135" s="139"/>
      <c r="GI135" s="11"/>
      <c r="GL135" s="10"/>
      <c r="GM135" s="139" t="s">
        <v>5</v>
      </c>
      <c r="GN135" s="139"/>
      <c r="GO135" s="139"/>
      <c r="GP135" s="139"/>
      <c r="GQ135" s="139"/>
      <c r="GR135" s="139"/>
      <c r="GS135" s="139"/>
      <c r="GT135" s="139"/>
      <c r="GU135" s="11"/>
      <c r="GX135" s="10"/>
      <c r="HA135" s="67"/>
      <c r="HB135" s="67"/>
      <c r="HC135" s="67"/>
      <c r="HD135" s="81"/>
      <c r="HE135" s="11"/>
      <c r="HM135" s="10"/>
      <c r="KQ135" s="11"/>
      <c r="KX135" s="63"/>
      <c r="KY135" s="64"/>
      <c r="KZ135" s="64"/>
      <c r="LA135" s="64"/>
      <c r="LB135" s="69"/>
      <c r="LC135" s="69"/>
      <c r="LD135" s="69"/>
      <c r="LE135" s="69"/>
      <c r="LF135" s="69"/>
      <c r="LG135" s="69"/>
      <c r="LH135" s="69"/>
      <c r="LI135" s="64"/>
      <c r="LJ135" s="64"/>
      <c r="LK135" s="64"/>
      <c r="LL135" s="65"/>
      <c r="LP135" s="11"/>
    </row>
    <row r="136" spans="3:328" ht="15" customHeight="1" x14ac:dyDescent="0.25">
      <c r="C136" s="8"/>
      <c r="D136" s="8"/>
      <c r="E136" s="8"/>
      <c r="F136" s="8"/>
      <c r="G136" s="8"/>
      <c r="H136" s="8"/>
      <c r="I136" s="8"/>
      <c r="J136" s="9"/>
      <c r="O136" s="10"/>
      <c r="P136" s="10"/>
      <c r="T136" s="11"/>
      <c r="W136" s="10"/>
      <c r="AE136" s="11"/>
      <c r="AH136" s="10"/>
      <c r="AP136" s="11"/>
      <c r="AS136" s="10"/>
      <c r="BA136" s="11"/>
      <c r="BD136" s="10"/>
      <c r="BL136" s="11"/>
      <c r="BO136" s="10"/>
      <c r="BW136" s="11"/>
      <c r="BZ136" s="10"/>
      <c r="CH136" s="11"/>
      <c r="CK136" s="10"/>
      <c r="CS136" s="11"/>
      <c r="CX136" s="10"/>
      <c r="DB136" s="67"/>
      <c r="DC136" s="67"/>
      <c r="DD136" s="67"/>
      <c r="DE136" s="67"/>
      <c r="DF136" s="81"/>
      <c r="DG136" s="67"/>
      <c r="DH136" s="11"/>
      <c r="DO136" s="10"/>
      <c r="DP136" s="10"/>
      <c r="DW136" s="11"/>
      <c r="DZ136" s="10"/>
      <c r="EG136" s="11"/>
      <c r="EJ136" s="10"/>
      <c r="EQ136" s="11"/>
      <c r="ET136" s="10"/>
      <c r="FA136" s="11"/>
      <c r="FD136" s="10"/>
      <c r="FK136" s="11"/>
      <c r="FN136" s="10"/>
      <c r="FO136" s="139">
        <v>1</v>
      </c>
      <c r="FP136" s="139"/>
      <c r="FQ136" s="139"/>
      <c r="FT136" s="139">
        <v>2</v>
      </c>
      <c r="FU136" s="139"/>
      <c r="FV136" s="139"/>
      <c r="FW136" s="11"/>
      <c r="FZ136" s="10"/>
      <c r="GA136" s="139">
        <v>3</v>
      </c>
      <c r="GB136" s="139"/>
      <c r="GC136" s="139"/>
      <c r="GF136" s="139">
        <v>4</v>
      </c>
      <c r="GG136" s="139"/>
      <c r="GH136" s="139"/>
      <c r="GI136" s="11"/>
      <c r="GL136" s="10"/>
      <c r="GM136" s="139">
        <v>5</v>
      </c>
      <c r="GN136" s="139"/>
      <c r="GO136" s="139"/>
      <c r="GR136" s="139"/>
      <c r="GS136" s="139"/>
      <c r="GT136" s="139"/>
      <c r="GU136" s="11"/>
      <c r="GX136" s="10"/>
      <c r="HA136" s="67"/>
      <c r="HB136" s="67"/>
      <c r="HC136" s="67"/>
      <c r="HD136" s="81"/>
      <c r="HE136" s="11"/>
      <c r="HM136" s="10"/>
      <c r="KQ136" s="11"/>
      <c r="KX136" s="63"/>
      <c r="KY136" s="64"/>
      <c r="KZ136" s="64"/>
      <c r="LA136" s="64"/>
      <c r="LB136" s="69"/>
      <c r="LC136" s="69"/>
      <c r="LD136" s="69"/>
      <c r="LE136" s="69"/>
      <c r="LF136" s="69"/>
      <c r="LG136" s="69"/>
      <c r="LH136" s="69"/>
      <c r="LI136" s="64"/>
      <c r="LJ136" s="64"/>
      <c r="LK136" s="64"/>
      <c r="LL136" s="65"/>
      <c r="LP136" s="11"/>
    </row>
    <row r="137" spans="3:328" ht="15" customHeight="1" x14ac:dyDescent="0.25">
      <c r="C137" s="8"/>
      <c r="D137" s="8"/>
      <c r="E137" s="8"/>
      <c r="F137" s="8"/>
      <c r="G137" s="8"/>
      <c r="H137" s="8"/>
      <c r="I137" s="8"/>
      <c r="J137" s="9"/>
      <c r="O137" s="10"/>
      <c r="P137" s="10"/>
      <c r="T137" s="11"/>
      <c r="W137" s="10"/>
      <c r="AE137" s="11"/>
      <c r="AH137" s="10"/>
      <c r="AP137" s="11"/>
      <c r="AS137" s="10"/>
      <c r="BA137" s="11"/>
      <c r="BD137" s="10"/>
      <c r="BL137" s="11"/>
      <c r="BO137" s="10"/>
      <c r="BW137" s="11"/>
      <c r="BZ137" s="10"/>
      <c r="CH137" s="11"/>
      <c r="CK137" s="10"/>
      <c r="CS137" s="11"/>
      <c r="CX137" s="10"/>
      <c r="DB137" s="67"/>
      <c r="DC137" s="67"/>
      <c r="DD137" s="67"/>
      <c r="DE137" s="67"/>
      <c r="DF137" s="81"/>
      <c r="DG137" s="67"/>
      <c r="DH137" s="11"/>
      <c r="DO137" s="10"/>
      <c r="DP137" s="10"/>
      <c r="DW137" s="11"/>
      <c r="DZ137" s="10"/>
      <c r="EG137" s="11"/>
      <c r="EJ137" s="10"/>
      <c r="EQ137" s="11"/>
      <c r="ET137" s="10"/>
      <c r="FA137" s="11"/>
      <c r="FD137" s="10"/>
      <c r="FK137" s="11"/>
      <c r="FN137" s="10"/>
      <c r="FW137" s="11"/>
      <c r="FZ137" s="10"/>
      <c r="GI137" s="11"/>
      <c r="GL137" s="10"/>
      <c r="GU137" s="11"/>
      <c r="GX137" s="10"/>
      <c r="HA137" s="67"/>
      <c r="HB137" s="67"/>
      <c r="HC137" s="67"/>
      <c r="HD137" s="81"/>
      <c r="HE137" s="11"/>
      <c r="HM137" s="10"/>
      <c r="HW137" s="26"/>
      <c r="II137" s="26"/>
      <c r="IU137" s="26"/>
      <c r="JG137" s="26"/>
      <c r="JS137" s="26"/>
      <c r="KE137" s="26"/>
      <c r="KQ137" s="25"/>
      <c r="KX137" s="63"/>
      <c r="KY137" s="64"/>
      <c r="KZ137" s="64"/>
      <c r="LA137" s="64"/>
      <c r="LB137" s="69"/>
      <c r="LC137" s="69"/>
      <c r="LD137" s="69"/>
      <c r="LE137" s="69"/>
      <c r="LF137" s="69"/>
      <c r="LG137" s="69"/>
      <c r="LH137" s="69"/>
      <c r="LI137" s="64"/>
      <c r="LJ137" s="64"/>
      <c r="LK137" s="64"/>
      <c r="LL137" s="65"/>
      <c r="LP137" s="11"/>
    </row>
    <row r="138" spans="3:328" ht="15" customHeight="1" x14ac:dyDescent="0.25">
      <c r="C138" s="8"/>
      <c r="D138" s="8"/>
      <c r="E138" s="8"/>
      <c r="F138" s="8"/>
      <c r="G138" s="8"/>
      <c r="H138" s="8"/>
      <c r="I138" s="8"/>
      <c r="J138" s="9"/>
      <c r="O138" s="10"/>
      <c r="P138" s="10"/>
      <c r="T138" s="25"/>
      <c r="W138" s="10"/>
      <c r="AE138" s="25"/>
      <c r="AH138" s="10"/>
      <c r="AP138" s="25"/>
      <c r="AS138" s="10"/>
      <c r="BA138" s="25"/>
      <c r="BD138" s="10"/>
      <c r="BL138" s="25"/>
      <c r="BO138" s="10"/>
      <c r="BW138" s="25"/>
      <c r="BZ138" s="10"/>
      <c r="CH138" s="25"/>
      <c r="CK138" s="10"/>
      <c r="CS138" s="25"/>
      <c r="CX138" s="10"/>
      <c r="DB138" s="67"/>
      <c r="DC138" s="67"/>
      <c r="DD138" s="67"/>
      <c r="DE138" s="67"/>
      <c r="DF138" s="81"/>
      <c r="DG138" s="67"/>
      <c r="DH138" s="11"/>
      <c r="DO138" s="10"/>
      <c r="DP138" s="10"/>
      <c r="DW138" s="25"/>
      <c r="DZ138" s="10"/>
      <c r="EG138" s="25"/>
      <c r="EJ138" s="10"/>
      <c r="EQ138" s="25"/>
      <c r="ET138" s="10"/>
      <c r="FA138" s="25"/>
      <c r="FD138" s="10"/>
      <c r="FK138" s="25"/>
      <c r="FN138" s="10"/>
      <c r="FW138" s="25"/>
      <c r="FZ138" s="10"/>
      <c r="GI138" s="25"/>
      <c r="GJ138" s="26"/>
      <c r="GL138" s="10"/>
      <c r="GU138" s="25"/>
      <c r="GX138" s="10"/>
      <c r="HA138" s="67"/>
      <c r="HB138" s="67"/>
      <c r="HC138" s="67"/>
      <c r="HD138" s="81"/>
      <c r="HE138" s="11"/>
      <c r="HM138" s="10"/>
      <c r="HU138" s="26"/>
      <c r="HV138" s="26"/>
      <c r="HW138" s="26"/>
      <c r="IG138" s="26"/>
      <c r="IH138" s="26"/>
      <c r="II138" s="26"/>
      <c r="IS138" s="26"/>
      <c r="IT138" s="26"/>
      <c r="IU138" s="26"/>
      <c r="JE138" s="26"/>
      <c r="JF138" s="26"/>
      <c r="JG138" s="26"/>
      <c r="JQ138" s="26"/>
      <c r="JR138" s="26"/>
      <c r="JS138" s="26"/>
      <c r="KC138" s="26"/>
      <c r="KD138" s="26"/>
      <c r="KE138" s="26"/>
      <c r="KO138" s="26"/>
      <c r="KP138" s="26"/>
      <c r="KQ138" s="25"/>
      <c r="KX138" s="63"/>
      <c r="KY138" s="64"/>
      <c r="KZ138" s="64"/>
      <c r="LA138" s="64"/>
      <c r="LB138" s="69"/>
      <c r="LC138" s="69"/>
      <c r="LD138" s="69"/>
      <c r="LE138" s="69"/>
      <c r="LF138" s="69"/>
      <c r="LG138" s="69"/>
      <c r="LH138" s="69"/>
      <c r="LI138" s="64"/>
      <c r="LJ138" s="64"/>
      <c r="LK138" s="64"/>
      <c r="LL138" s="65"/>
      <c r="LP138" s="11"/>
    </row>
    <row r="139" spans="3:328" ht="15" customHeight="1" x14ac:dyDescent="0.25">
      <c r="C139" s="8"/>
      <c r="D139" s="8"/>
      <c r="E139" s="8"/>
      <c r="F139" s="8"/>
      <c r="G139" s="8"/>
      <c r="H139" s="8"/>
      <c r="I139" s="8"/>
      <c r="J139" s="9"/>
      <c r="O139" s="10"/>
      <c r="P139" s="10"/>
      <c r="R139" s="26"/>
      <c r="S139" s="26"/>
      <c r="T139" s="25"/>
      <c r="W139" s="10"/>
      <c r="AC139" s="26"/>
      <c r="AD139" s="26"/>
      <c r="AE139" s="25"/>
      <c r="AH139" s="10"/>
      <c r="AN139" s="26"/>
      <c r="AO139" s="26"/>
      <c r="AP139" s="25"/>
      <c r="AS139" s="10"/>
      <c r="AY139" s="26"/>
      <c r="AZ139" s="26"/>
      <c r="BA139" s="25"/>
      <c r="BD139" s="10"/>
      <c r="BJ139" s="26"/>
      <c r="BK139" s="26"/>
      <c r="BL139" s="25"/>
      <c r="BO139" s="10"/>
      <c r="BU139" s="26"/>
      <c r="BV139" s="26"/>
      <c r="BW139" s="25"/>
      <c r="BZ139" s="10"/>
      <c r="CF139" s="26"/>
      <c r="CG139" s="26"/>
      <c r="CH139" s="25"/>
      <c r="CK139" s="10"/>
      <c r="CQ139" s="26"/>
      <c r="CR139" s="26"/>
      <c r="CS139" s="25"/>
      <c r="CX139" s="10"/>
      <c r="DB139" s="67"/>
      <c r="DC139" s="67"/>
      <c r="DD139" s="67"/>
      <c r="DE139" s="67"/>
      <c r="DF139" s="81"/>
      <c r="DG139" s="67"/>
      <c r="DH139" s="11"/>
      <c r="DO139" s="10"/>
      <c r="DP139" s="10"/>
      <c r="DU139" s="26"/>
      <c r="DV139" s="26"/>
      <c r="DW139" s="25"/>
      <c r="DZ139" s="10"/>
      <c r="EE139" s="26"/>
      <c r="EF139" s="26"/>
      <c r="EG139" s="25"/>
      <c r="EJ139" s="10"/>
      <c r="EO139" s="26"/>
      <c r="EP139" s="26"/>
      <c r="EQ139" s="25"/>
      <c r="ET139" s="10"/>
      <c r="EY139" s="26"/>
      <c r="EZ139" s="26"/>
      <c r="FA139" s="25"/>
      <c r="FD139" s="10"/>
      <c r="FI139" s="26"/>
      <c r="FJ139" s="26"/>
      <c r="FK139" s="25"/>
      <c r="FN139" s="10"/>
      <c r="FU139" s="26"/>
      <c r="FV139" s="26"/>
      <c r="FW139" s="25"/>
      <c r="FX139" s="26"/>
      <c r="FY139" s="26"/>
      <c r="FZ139" s="10"/>
      <c r="GG139" s="26"/>
      <c r="GH139" s="26"/>
      <c r="GI139" s="25"/>
      <c r="GJ139" s="26"/>
      <c r="GL139" s="10"/>
      <c r="GS139" s="26"/>
      <c r="GT139" s="26"/>
      <c r="GU139" s="25"/>
      <c r="GX139" s="10"/>
      <c r="HA139" s="67"/>
      <c r="HB139" s="67"/>
      <c r="HC139" s="67"/>
      <c r="HD139" s="81"/>
      <c r="HE139" s="11"/>
      <c r="HM139" s="10"/>
      <c r="KQ139" s="11"/>
      <c r="KX139" s="63"/>
      <c r="KY139" s="64"/>
      <c r="KZ139" s="64"/>
      <c r="LA139" s="64"/>
      <c r="LB139" s="69"/>
      <c r="LC139" s="69"/>
      <c r="LD139" s="69"/>
      <c r="LE139" s="69"/>
      <c r="LF139" s="69"/>
      <c r="LG139" s="69"/>
      <c r="LH139" s="69"/>
      <c r="LI139" s="64"/>
      <c r="LJ139" s="64"/>
      <c r="LK139" s="64"/>
      <c r="LL139" s="65"/>
      <c r="LP139" s="11"/>
    </row>
    <row r="140" spans="3:328" ht="15" customHeight="1" x14ac:dyDescent="0.25">
      <c r="C140" s="8"/>
      <c r="D140" s="8"/>
      <c r="E140" s="8"/>
      <c r="F140" s="8"/>
      <c r="G140" s="8"/>
      <c r="H140" s="8"/>
      <c r="I140" s="8"/>
      <c r="J140" s="9"/>
      <c r="O140" s="10"/>
      <c r="P140" s="10"/>
      <c r="T140" s="11"/>
      <c r="W140" s="10"/>
      <c r="AE140" s="11"/>
      <c r="AH140" s="10"/>
      <c r="AP140" s="11"/>
      <c r="AS140" s="10"/>
      <c r="BA140" s="11"/>
      <c r="BD140" s="10"/>
      <c r="BL140" s="11"/>
      <c r="BO140" s="10"/>
      <c r="BW140" s="11"/>
      <c r="BZ140" s="10"/>
      <c r="CH140" s="11"/>
      <c r="CK140" s="10"/>
      <c r="CS140" s="11"/>
      <c r="CX140" s="10"/>
      <c r="DB140" s="67"/>
      <c r="DC140" s="67"/>
      <c r="DD140" s="67"/>
      <c r="DE140" s="67"/>
      <c r="DF140" s="81"/>
      <c r="DG140" s="67"/>
      <c r="DH140" s="11"/>
      <c r="DO140" s="10"/>
      <c r="DP140" s="10"/>
      <c r="DW140" s="11"/>
      <c r="DZ140" s="10"/>
      <c r="EG140" s="11"/>
      <c r="EJ140" s="10"/>
      <c r="EQ140" s="11"/>
      <c r="ET140" s="10"/>
      <c r="FA140" s="11"/>
      <c r="FD140" s="10"/>
      <c r="FK140" s="11"/>
      <c r="FN140" s="10"/>
      <c r="FW140" s="11"/>
      <c r="FZ140" s="10"/>
      <c r="GI140" s="11"/>
      <c r="GL140" s="10"/>
      <c r="GU140" s="11"/>
      <c r="GX140" s="10"/>
      <c r="HA140" s="67"/>
      <c r="HB140" s="67"/>
      <c r="HC140" s="67"/>
      <c r="HD140" s="81"/>
      <c r="HE140" s="11"/>
      <c r="HM140" s="10"/>
      <c r="KQ140" s="11"/>
      <c r="KX140" s="63"/>
      <c r="KY140" s="64"/>
      <c r="KZ140" s="64"/>
      <c r="LA140" s="64"/>
      <c r="LB140" s="69"/>
      <c r="LC140" s="69"/>
      <c r="LD140" s="69"/>
      <c r="LE140" s="69"/>
      <c r="LF140" s="69"/>
      <c r="LG140" s="69"/>
      <c r="LH140" s="69"/>
      <c r="LI140" s="64"/>
      <c r="LJ140" s="64"/>
      <c r="LK140" s="64"/>
      <c r="LL140" s="65"/>
      <c r="LP140" s="11"/>
    </row>
    <row r="141" spans="3:328" ht="17.25" customHeight="1" x14ac:dyDescent="0.25">
      <c r="C141" s="8"/>
      <c r="D141" s="8"/>
      <c r="E141" s="8"/>
      <c r="F141" s="8"/>
      <c r="G141" s="8"/>
      <c r="H141" s="8"/>
      <c r="I141" s="8"/>
      <c r="J141" s="9"/>
      <c r="O141" s="10"/>
      <c r="P141" s="10"/>
      <c r="T141" s="11"/>
      <c r="W141" s="10"/>
      <c r="AE141" s="11"/>
      <c r="AH141" s="10"/>
      <c r="AP141" s="11"/>
      <c r="AS141" s="10"/>
      <c r="BA141" s="11"/>
      <c r="BD141" s="10"/>
      <c r="BL141" s="11"/>
      <c r="BO141" s="10"/>
      <c r="BW141" s="11"/>
      <c r="BZ141" s="10"/>
      <c r="CH141" s="11"/>
      <c r="CK141" s="10"/>
      <c r="CS141" s="11"/>
      <c r="CX141" s="10"/>
      <c r="DB141" s="67"/>
      <c r="DC141" s="67"/>
      <c r="DD141" s="67"/>
      <c r="DE141" s="67"/>
      <c r="DF141" s="81"/>
      <c r="DG141" s="67"/>
      <c r="DH141" s="11"/>
      <c r="DO141" s="10"/>
      <c r="DP141" s="10"/>
      <c r="DW141" s="11"/>
      <c r="DZ141" s="10"/>
      <c r="EG141" s="11"/>
      <c r="EJ141" s="10"/>
      <c r="EQ141" s="11"/>
      <c r="ET141" s="10"/>
      <c r="FA141" s="11"/>
      <c r="FD141" s="10"/>
      <c r="FK141" s="11"/>
      <c r="FN141" s="10"/>
      <c r="FW141" s="11"/>
      <c r="FZ141" s="10"/>
      <c r="GI141" s="11"/>
      <c r="GL141" s="10"/>
      <c r="GU141" s="11"/>
      <c r="GX141" s="10"/>
      <c r="HA141" s="67"/>
      <c r="HB141" s="67"/>
      <c r="HC141" s="67"/>
      <c r="HD141" s="81"/>
      <c r="HE141" s="11"/>
      <c r="HM141" s="10"/>
      <c r="KQ141" s="11"/>
      <c r="KX141" s="63"/>
      <c r="KY141" s="64"/>
      <c r="KZ141" s="64"/>
      <c r="LA141" s="64"/>
      <c r="LB141" s="64"/>
      <c r="LC141" s="64"/>
      <c r="LD141" s="64"/>
      <c r="LE141" s="64"/>
      <c r="LF141" s="64"/>
      <c r="LG141" s="64"/>
      <c r="LH141" s="64"/>
      <c r="LI141" s="64"/>
      <c r="LJ141" s="64"/>
      <c r="LK141" s="64"/>
      <c r="LL141" s="65"/>
      <c r="LP141" s="11"/>
    </row>
    <row r="142" spans="3:328" ht="15.75" customHeight="1" x14ac:dyDescent="0.25">
      <c r="C142" s="8"/>
      <c r="D142" s="8"/>
      <c r="E142" s="8"/>
      <c r="F142" s="8"/>
      <c r="G142" s="8"/>
      <c r="H142" s="8"/>
      <c r="I142" s="8"/>
      <c r="J142" s="9"/>
      <c r="O142" s="10"/>
      <c r="P142" s="10"/>
      <c r="T142" s="11"/>
      <c r="W142" s="10"/>
      <c r="AE142" s="11"/>
      <c r="AH142" s="10"/>
      <c r="AP142" s="11"/>
      <c r="AS142" s="10"/>
      <c r="BA142" s="11"/>
      <c r="BD142" s="10"/>
      <c r="BE142" s="141" t="s">
        <v>22</v>
      </c>
      <c r="BF142" s="142"/>
      <c r="BG142" s="142"/>
      <c r="BH142" s="142"/>
      <c r="BI142" s="142"/>
      <c r="BJ142" s="142"/>
      <c r="BK142" s="142"/>
      <c r="BL142" s="11"/>
      <c r="BO142" s="10"/>
      <c r="BW142" s="11"/>
      <c r="BZ142" s="10"/>
      <c r="CH142" s="11"/>
      <c r="CK142" s="10"/>
      <c r="CS142" s="11"/>
      <c r="CX142" s="10"/>
      <c r="DB142" s="67"/>
      <c r="DC142" s="67"/>
      <c r="DD142" s="67"/>
      <c r="DE142" s="67"/>
      <c r="DF142" s="81"/>
      <c r="DG142" s="67"/>
      <c r="DH142" s="11"/>
      <c r="DO142" s="10"/>
      <c r="DP142" s="10"/>
      <c r="DQ142" s="141" t="s">
        <v>23</v>
      </c>
      <c r="DR142" s="141"/>
      <c r="DS142" s="141"/>
      <c r="DT142" s="141"/>
      <c r="DU142" s="141"/>
      <c r="DV142" s="141"/>
      <c r="DX142" s="10"/>
      <c r="DZ142" s="10"/>
      <c r="EG142" s="11"/>
      <c r="EJ142" s="10"/>
      <c r="EQ142" s="11"/>
      <c r="ET142" s="10"/>
      <c r="FA142" s="11"/>
      <c r="FD142" s="10"/>
      <c r="FK142" s="11"/>
      <c r="FN142" s="10"/>
      <c r="FW142" s="11"/>
      <c r="FZ142" s="10"/>
      <c r="GI142" s="11"/>
      <c r="GL142" s="10"/>
      <c r="GU142" s="11"/>
      <c r="GX142" s="10"/>
      <c r="HA142" s="67"/>
      <c r="HB142" s="67"/>
      <c r="HC142" s="67"/>
      <c r="HD142" s="81"/>
      <c r="HE142" s="11"/>
      <c r="HM142" s="10"/>
      <c r="KQ142" s="11"/>
      <c r="KX142" s="63"/>
      <c r="KY142" s="64"/>
      <c r="KZ142" s="64"/>
      <c r="LA142" s="64"/>
      <c r="LB142" s="64"/>
      <c r="LC142" s="64"/>
      <c r="LD142" s="64"/>
      <c r="LE142" s="64"/>
      <c r="LF142" s="64"/>
      <c r="LG142" s="64"/>
      <c r="LH142" s="64"/>
      <c r="LI142" s="64"/>
      <c r="LJ142" s="64"/>
      <c r="LK142" s="64"/>
      <c r="LL142" s="65"/>
      <c r="LP142" s="11"/>
    </row>
    <row r="143" spans="3:328" ht="15.75" customHeight="1" x14ac:dyDescent="0.25">
      <c r="C143" s="8"/>
      <c r="D143" s="8"/>
      <c r="E143" s="8"/>
      <c r="F143" s="8"/>
      <c r="G143" s="8"/>
      <c r="H143" s="8"/>
      <c r="I143" s="8"/>
      <c r="J143" s="9"/>
      <c r="O143" s="10"/>
      <c r="P143" s="10"/>
      <c r="T143" s="11"/>
      <c r="W143" s="10"/>
      <c r="AE143" s="11"/>
      <c r="AH143" s="10"/>
      <c r="AP143" s="11"/>
      <c r="AS143" s="10"/>
      <c r="BA143" s="11"/>
      <c r="BD143" s="10"/>
      <c r="BE143" s="142"/>
      <c r="BF143" s="142"/>
      <c r="BG143" s="142"/>
      <c r="BH143" s="142"/>
      <c r="BI143" s="142"/>
      <c r="BJ143" s="142"/>
      <c r="BK143" s="142"/>
      <c r="BL143" s="11"/>
      <c r="BO143" s="10"/>
      <c r="BW143" s="11"/>
      <c r="BZ143" s="10"/>
      <c r="CH143" s="11"/>
      <c r="CK143" s="10"/>
      <c r="CS143" s="11"/>
      <c r="CX143" s="10"/>
      <c r="DB143" s="67"/>
      <c r="DC143" s="67"/>
      <c r="DD143" s="67"/>
      <c r="DE143" s="67"/>
      <c r="DF143" s="81"/>
      <c r="DG143" s="67"/>
      <c r="DH143" s="11"/>
      <c r="DO143" s="10"/>
      <c r="DP143" s="10"/>
      <c r="DQ143" s="141"/>
      <c r="DR143" s="141"/>
      <c r="DS143" s="141"/>
      <c r="DT143" s="141"/>
      <c r="DU143" s="141"/>
      <c r="DV143" s="141"/>
      <c r="DX143" s="10"/>
      <c r="DZ143" s="10"/>
      <c r="EG143" s="11"/>
      <c r="EJ143" s="10"/>
      <c r="EQ143" s="11"/>
      <c r="ET143" s="10"/>
      <c r="FA143" s="11"/>
      <c r="FD143" s="10"/>
      <c r="FK143" s="11"/>
      <c r="FN143" s="10"/>
      <c r="FW143" s="11"/>
      <c r="FZ143" s="10"/>
      <c r="GI143" s="11"/>
      <c r="GL143" s="10"/>
      <c r="GU143" s="11"/>
      <c r="GX143" s="10"/>
      <c r="HA143" s="67"/>
      <c r="HB143" s="67"/>
      <c r="HC143" s="67"/>
      <c r="HD143" s="81"/>
      <c r="HE143" s="11"/>
      <c r="HM143" s="10"/>
      <c r="KQ143" s="11"/>
      <c r="KX143" s="63"/>
      <c r="KY143" s="64"/>
      <c r="KZ143" s="64"/>
      <c r="LA143" s="64"/>
      <c r="LB143" s="64"/>
      <c r="LC143" s="64"/>
      <c r="LD143" s="64"/>
      <c r="LE143" s="64"/>
      <c r="LF143" s="64"/>
      <c r="LG143" s="64"/>
      <c r="LH143" s="64"/>
      <c r="LI143" s="64"/>
      <c r="LJ143" s="64"/>
      <c r="LK143" s="64"/>
      <c r="LL143" s="65"/>
      <c r="LP143" s="11"/>
    </row>
    <row r="144" spans="3:328" ht="15" customHeight="1" x14ac:dyDescent="0.25">
      <c r="C144" s="8"/>
      <c r="D144" s="8"/>
      <c r="E144" s="8"/>
      <c r="F144" s="8"/>
      <c r="G144" s="8"/>
      <c r="H144" s="8"/>
      <c r="I144" s="8"/>
      <c r="J144" s="9"/>
      <c r="O144" s="10"/>
      <c r="P144" s="10"/>
      <c r="T144" s="11"/>
      <c r="W144" s="10"/>
      <c r="AE144" s="11"/>
      <c r="AH144" s="10"/>
      <c r="AI144" s="139" t="s">
        <v>24</v>
      </c>
      <c r="AJ144" s="139"/>
      <c r="AK144" s="139"/>
      <c r="AL144" s="139"/>
      <c r="AM144" s="139"/>
      <c r="AN144" s="139"/>
      <c r="AO144" s="139"/>
      <c r="AP144" s="11"/>
      <c r="AS144" s="10"/>
      <c r="AT144" s="139" t="s">
        <v>24</v>
      </c>
      <c r="AU144" s="139"/>
      <c r="AV144" s="139"/>
      <c r="AW144" s="139"/>
      <c r="AX144" s="139"/>
      <c r="AY144" s="139"/>
      <c r="AZ144" s="139"/>
      <c r="BA144" s="11"/>
      <c r="BD144" s="10"/>
      <c r="BE144" s="139" t="s">
        <v>24</v>
      </c>
      <c r="BF144" s="139"/>
      <c r="BG144" s="139"/>
      <c r="BH144" s="139"/>
      <c r="BI144" s="139"/>
      <c r="BJ144" s="139"/>
      <c r="BK144" s="139"/>
      <c r="BL144" s="11"/>
      <c r="BO144" s="10"/>
      <c r="BP144" s="139" t="s">
        <v>24</v>
      </c>
      <c r="BQ144" s="139"/>
      <c r="BR144" s="139"/>
      <c r="BS144" s="139"/>
      <c r="BT144" s="139"/>
      <c r="BU144" s="139"/>
      <c r="BV144" s="139"/>
      <c r="BW144" s="11"/>
      <c r="BZ144" s="10"/>
      <c r="CA144" s="139" t="s">
        <v>24</v>
      </c>
      <c r="CB144" s="139"/>
      <c r="CC144" s="139"/>
      <c r="CD144" s="139"/>
      <c r="CE144" s="139"/>
      <c r="CF144" s="139"/>
      <c r="CG144" s="139"/>
      <c r="CH144" s="11"/>
      <c r="CK144" s="10"/>
      <c r="CL144" s="139" t="s">
        <v>24</v>
      </c>
      <c r="CM144" s="139"/>
      <c r="CN144" s="139"/>
      <c r="CO144" s="139"/>
      <c r="CP144" s="139"/>
      <c r="CQ144" s="139"/>
      <c r="CR144" s="139"/>
      <c r="CS144" s="11"/>
      <c r="CX144" s="10"/>
      <c r="DB144" s="67"/>
      <c r="DC144" s="67"/>
      <c r="DD144" s="67"/>
      <c r="DE144" s="67"/>
      <c r="DF144" s="81"/>
      <c r="DG144" s="67"/>
      <c r="DH144" s="11"/>
      <c r="DO144" s="10"/>
      <c r="DP144" s="10"/>
      <c r="DQ144" s="139" t="s">
        <v>24</v>
      </c>
      <c r="DR144" s="139"/>
      <c r="DS144" s="139"/>
      <c r="DT144" s="139"/>
      <c r="DU144" s="139"/>
      <c r="DV144" s="139"/>
      <c r="DW144" s="11"/>
      <c r="DZ144" s="10"/>
      <c r="EA144" s="139" t="s">
        <v>24</v>
      </c>
      <c r="EB144" s="139"/>
      <c r="EC144" s="139"/>
      <c r="ED144" s="139"/>
      <c r="EE144" s="139"/>
      <c r="EF144" s="139"/>
      <c r="EG144" s="11"/>
      <c r="EJ144" s="10"/>
      <c r="EK144" s="139" t="s">
        <v>24</v>
      </c>
      <c r="EL144" s="139"/>
      <c r="EM144" s="139"/>
      <c r="EN144" s="139"/>
      <c r="EO144" s="139"/>
      <c r="EP144" s="139"/>
      <c r="EQ144" s="11"/>
      <c r="ET144" s="10"/>
      <c r="EU144" s="139" t="s">
        <v>24</v>
      </c>
      <c r="EV144" s="139"/>
      <c r="EW144" s="139"/>
      <c r="EX144" s="139"/>
      <c r="EY144" s="139"/>
      <c r="EZ144" s="139"/>
      <c r="FA144" s="11"/>
      <c r="FD144" s="10"/>
      <c r="FE144" s="139" t="s">
        <v>24</v>
      </c>
      <c r="FF144" s="139"/>
      <c r="FG144" s="139"/>
      <c r="FH144" s="139"/>
      <c r="FI144" s="139"/>
      <c r="FJ144" s="139"/>
      <c r="FK144" s="11"/>
      <c r="FN144" s="10"/>
      <c r="FO144" s="139" t="s">
        <v>20</v>
      </c>
      <c r="FP144" s="139"/>
      <c r="FQ144" s="139"/>
      <c r="FR144" s="139"/>
      <c r="FS144" s="139"/>
      <c r="FT144" s="139"/>
      <c r="FU144" s="139"/>
      <c r="FV144" s="139"/>
      <c r="FW144" s="11"/>
      <c r="FZ144" s="10"/>
      <c r="GA144" s="139" t="s">
        <v>20</v>
      </c>
      <c r="GB144" s="139"/>
      <c r="GC144" s="139"/>
      <c r="GD144" s="139"/>
      <c r="GE144" s="139"/>
      <c r="GF144" s="139"/>
      <c r="GG144" s="139"/>
      <c r="GH144" s="139"/>
      <c r="GI144" s="11"/>
      <c r="GL144" s="10"/>
      <c r="GM144" s="139" t="s">
        <v>20</v>
      </c>
      <c r="GN144" s="139"/>
      <c r="GO144" s="139"/>
      <c r="GP144" s="139"/>
      <c r="GQ144" s="139"/>
      <c r="GR144" s="139"/>
      <c r="GS144" s="139"/>
      <c r="GT144" s="139"/>
      <c r="GU144" s="11"/>
      <c r="GX144" s="10"/>
      <c r="HA144" s="67"/>
      <c r="HB144" s="67"/>
      <c r="HC144" s="67"/>
      <c r="HD144" s="81"/>
      <c r="HE144" s="11"/>
      <c r="HM144" s="10"/>
      <c r="KQ144" s="11"/>
      <c r="KX144" s="63"/>
      <c r="KY144" s="64"/>
      <c r="KZ144" s="64"/>
      <c r="LA144" s="64"/>
      <c r="LB144" s="64"/>
      <c r="LC144" s="64"/>
      <c r="LD144" s="64"/>
      <c r="LE144" s="64"/>
      <c r="LF144" s="64"/>
      <c r="LG144" s="64"/>
      <c r="LH144" s="64"/>
      <c r="LI144" s="64"/>
      <c r="LJ144" s="64"/>
      <c r="LK144" s="64"/>
      <c r="LL144" s="65"/>
      <c r="LP144" s="11"/>
    </row>
    <row r="145" spans="3:328" x14ac:dyDescent="0.25">
      <c r="C145" s="8"/>
      <c r="D145" s="8"/>
      <c r="E145" s="8"/>
      <c r="F145" s="8"/>
      <c r="G145" s="8"/>
      <c r="H145" s="8"/>
      <c r="I145" s="8"/>
      <c r="J145" s="9"/>
      <c r="O145" s="10"/>
      <c r="P145" s="10"/>
      <c r="T145" s="11"/>
      <c r="W145" s="10"/>
      <c r="AB145" s="139" t="s">
        <v>0</v>
      </c>
      <c r="AC145" s="139"/>
      <c r="AD145" s="139"/>
      <c r="AE145" s="11"/>
      <c r="AH145" s="10"/>
      <c r="AM145" s="139" t="s">
        <v>0</v>
      </c>
      <c r="AN145" s="139"/>
      <c r="AO145" s="139"/>
      <c r="AP145" s="11"/>
      <c r="AS145" s="10"/>
      <c r="AX145" s="139" t="s">
        <v>0</v>
      </c>
      <c r="AY145" s="139"/>
      <c r="AZ145" s="139"/>
      <c r="BA145" s="11"/>
      <c r="BD145" s="10"/>
      <c r="BI145" s="139" t="s">
        <v>0</v>
      </c>
      <c r="BJ145" s="139"/>
      <c r="BK145" s="139"/>
      <c r="BL145" s="11"/>
      <c r="BO145" s="10"/>
      <c r="BT145" s="139" t="s">
        <v>0</v>
      </c>
      <c r="BU145" s="139"/>
      <c r="BV145" s="139"/>
      <c r="BW145" s="11"/>
      <c r="BZ145" s="10"/>
      <c r="CE145" s="139" t="s">
        <v>0</v>
      </c>
      <c r="CF145" s="139"/>
      <c r="CG145" s="139"/>
      <c r="CH145" s="11"/>
      <c r="CK145" s="10"/>
      <c r="CP145" s="139" t="s">
        <v>0</v>
      </c>
      <c r="CQ145" s="139"/>
      <c r="CR145" s="139"/>
      <c r="CS145" s="11"/>
      <c r="CX145" s="10"/>
      <c r="DF145" s="11"/>
      <c r="DH145" s="11"/>
      <c r="DO145" s="10"/>
      <c r="DP145" s="10"/>
      <c r="DT145" s="139" t="s">
        <v>0</v>
      </c>
      <c r="DU145" s="139"/>
      <c r="DV145" s="139"/>
      <c r="DW145" s="11"/>
      <c r="DZ145" s="10"/>
      <c r="ED145" s="139" t="s">
        <v>0</v>
      </c>
      <c r="EE145" s="139"/>
      <c r="EF145" s="139"/>
      <c r="EG145" s="11"/>
      <c r="EJ145" s="10"/>
      <c r="EN145" s="139" t="s">
        <v>0</v>
      </c>
      <c r="EO145" s="139"/>
      <c r="EP145" s="139"/>
      <c r="EQ145" s="11"/>
      <c r="ET145" s="10"/>
      <c r="EX145" s="139" t="s">
        <v>0</v>
      </c>
      <c r="EY145" s="139"/>
      <c r="EZ145" s="139"/>
      <c r="FA145" s="11"/>
      <c r="FD145" s="10"/>
      <c r="FH145" s="139" t="s">
        <v>0</v>
      </c>
      <c r="FI145" s="139"/>
      <c r="FJ145" s="139"/>
      <c r="FK145" s="11"/>
      <c r="FN145" s="10"/>
      <c r="FO145" s="139" t="s">
        <v>0</v>
      </c>
      <c r="FP145" s="139"/>
      <c r="FQ145" s="139"/>
      <c r="FT145" s="139" t="s">
        <v>0</v>
      </c>
      <c r="FU145" s="139"/>
      <c r="FV145" s="139"/>
      <c r="FW145" s="11"/>
      <c r="FZ145" s="10"/>
      <c r="GA145" s="139" t="s">
        <v>0</v>
      </c>
      <c r="GB145" s="139"/>
      <c r="GC145" s="139"/>
      <c r="GF145" s="139" t="s">
        <v>0</v>
      </c>
      <c r="GG145" s="139"/>
      <c r="GH145" s="139"/>
      <c r="GI145" s="11"/>
      <c r="GL145" s="10"/>
      <c r="GM145" s="139" t="s">
        <v>0</v>
      </c>
      <c r="GN145" s="139"/>
      <c r="GO145" s="139"/>
      <c r="GR145" s="139" t="s">
        <v>0</v>
      </c>
      <c r="GS145" s="139"/>
      <c r="GT145" s="139"/>
      <c r="GU145" s="11"/>
      <c r="GX145" s="10"/>
      <c r="HD145" s="11"/>
      <c r="HE145" s="11"/>
      <c r="HM145" s="10"/>
      <c r="KQ145" s="11"/>
      <c r="KX145" s="63"/>
      <c r="KY145" s="64"/>
      <c r="KZ145" s="64"/>
      <c r="LA145" s="64"/>
      <c r="LB145" s="64"/>
      <c r="LC145" s="64"/>
      <c r="LD145" s="64"/>
      <c r="LE145" s="64"/>
      <c r="LF145" s="64"/>
      <c r="LG145" s="64"/>
      <c r="LH145" s="64"/>
      <c r="LI145" s="64"/>
      <c r="LJ145" s="64"/>
      <c r="LK145" s="64"/>
      <c r="LL145" s="65"/>
      <c r="LP145" s="11"/>
    </row>
    <row r="146" spans="3:328" x14ac:dyDescent="0.25">
      <c r="C146" s="8"/>
      <c r="D146" s="8"/>
      <c r="E146" s="8"/>
      <c r="F146" s="8"/>
      <c r="G146" s="8"/>
      <c r="H146" s="8"/>
      <c r="I146" s="8"/>
      <c r="J146" s="9"/>
      <c r="O146" s="10"/>
      <c r="P146" s="10"/>
      <c r="T146" s="11"/>
      <c r="W146" s="10"/>
      <c r="AB146" s="140">
        <v>201</v>
      </c>
      <c r="AC146" s="140"/>
      <c r="AD146" s="140"/>
      <c r="AE146" s="11"/>
      <c r="AH146" s="10"/>
      <c r="AM146" s="140">
        <v>202</v>
      </c>
      <c r="AN146" s="140"/>
      <c r="AO146" s="140"/>
      <c r="AP146" s="11"/>
      <c r="AS146" s="10"/>
      <c r="AX146" s="140">
        <v>203</v>
      </c>
      <c r="AY146" s="140"/>
      <c r="AZ146" s="140"/>
      <c r="BA146" s="11"/>
      <c r="BD146" s="10"/>
      <c r="BI146" s="140">
        <v>204</v>
      </c>
      <c r="BJ146" s="140"/>
      <c r="BK146" s="140"/>
      <c r="BL146" s="11"/>
      <c r="BO146" s="10"/>
      <c r="BT146" s="140">
        <v>205</v>
      </c>
      <c r="BU146" s="140"/>
      <c r="BV146" s="140"/>
      <c r="BW146" s="11"/>
      <c r="BZ146" s="10"/>
      <c r="CE146" s="140">
        <v>206</v>
      </c>
      <c r="CF146" s="140"/>
      <c r="CG146" s="140"/>
      <c r="CH146" s="11"/>
      <c r="CK146" s="10"/>
      <c r="CP146" s="140">
        <v>207</v>
      </c>
      <c r="CQ146" s="140"/>
      <c r="CR146" s="140"/>
      <c r="CS146" s="11"/>
      <c r="CX146" s="10"/>
      <c r="DF146" s="11"/>
      <c r="DH146" s="11"/>
      <c r="DO146" s="10"/>
      <c r="DP146" s="10"/>
      <c r="DT146" s="140">
        <v>208</v>
      </c>
      <c r="DU146" s="140"/>
      <c r="DV146" s="140"/>
      <c r="DW146" s="11"/>
      <c r="DZ146" s="10"/>
      <c r="ED146" s="140">
        <v>209</v>
      </c>
      <c r="EE146" s="140"/>
      <c r="EF146" s="140"/>
      <c r="EG146" s="11"/>
      <c r="EJ146" s="10"/>
      <c r="EN146" s="140">
        <v>210</v>
      </c>
      <c r="EO146" s="140"/>
      <c r="EP146" s="140"/>
      <c r="EQ146" s="11"/>
      <c r="ET146" s="10"/>
      <c r="EX146" s="140">
        <v>211</v>
      </c>
      <c r="EY146" s="140"/>
      <c r="EZ146" s="140"/>
      <c r="FA146" s="11"/>
      <c r="FD146" s="10"/>
      <c r="FH146" s="140">
        <v>212</v>
      </c>
      <c r="FI146" s="140"/>
      <c r="FJ146" s="140"/>
      <c r="FK146" s="11"/>
      <c r="FN146" s="10"/>
      <c r="FO146" s="140">
        <v>214</v>
      </c>
      <c r="FP146" s="140"/>
      <c r="FQ146" s="140"/>
      <c r="FT146" s="139">
        <v>215</v>
      </c>
      <c r="FU146" s="139"/>
      <c r="FV146" s="139"/>
      <c r="FW146" s="11"/>
      <c r="FZ146" s="10"/>
      <c r="GA146" s="140">
        <v>216</v>
      </c>
      <c r="GB146" s="140"/>
      <c r="GC146" s="140"/>
      <c r="GF146" s="139">
        <v>217</v>
      </c>
      <c r="GG146" s="139"/>
      <c r="GH146" s="139"/>
      <c r="GI146" s="11"/>
      <c r="GL146" s="10"/>
      <c r="GM146" s="140">
        <v>218</v>
      </c>
      <c r="GN146" s="140"/>
      <c r="GO146" s="140"/>
      <c r="GR146" s="139"/>
      <c r="GS146" s="139"/>
      <c r="GT146" s="139"/>
      <c r="GU146" s="11"/>
      <c r="GX146" s="10"/>
      <c r="HD146" s="11"/>
      <c r="HE146" s="11"/>
      <c r="HM146" s="10"/>
      <c r="KQ146" s="11"/>
      <c r="KX146" s="63"/>
      <c r="KY146" s="64"/>
      <c r="KZ146" s="64"/>
      <c r="LA146" s="64"/>
      <c r="LB146" s="64"/>
      <c r="LC146" s="64"/>
      <c r="LD146" s="64"/>
      <c r="LE146" s="64"/>
      <c r="LF146" s="64"/>
      <c r="LG146" s="64"/>
      <c r="LH146" s="64"/>
      <c r="LI146" s="64"/>
      <c r="LJ146" s="64"/>
      <c r="LK146" s="64"/>
      <c r="LL146" s="65"/>
      <c r="LP146" s="11"/>
    </row>
    <row r="147" spans="3:328" x14ac:dyDescent="0.25">
      <c r="C147" s="8"/>
      <c r="D147" s="8"/>
      <c r="E147" s="8"/>
      <c r="F147" s="8"/>
      <c r="G147" s="8"/>
      <c r="H147" s="8"/>
      <c r="I147" s="8"/>
      <c r="J147" s="9"/>
      <c r="O147" s="10"/>
      <c r="P147" s="30"/>
      <c r="Q147" s="12"/>
      <c r="R147" s="12"/>
      <c r="S147" s="12"/>
      <c r="T147" s="31"/>
      <c r="W147" s="30"/>
      <c r="X147" s="12"/>
      <c r="Y147" s="12"/>
      <c r="Z147" s="12"/>
      <c r="AA147" s="12"/>
      <c r="AB147" s="12"/>
      <c r="AC147" s="12"/>
      <c r="AD147" s="12"/>
      <c r="AE147" s="31"/>
      <c r="AH147" s="30"/>
      <c r="AI147" s="12"/>
      <c r="AJ147" s="12"/>
      <c r="AK147" s="12"/>
      <c r="AL147" s="12"/>
      <c r="AM147" s="12"/>
      <c r="AN147" s="12"/>
      <c r="AO147" s="12"/>
      <c r="AP147" s="31"/>
      <c r="AS147" s="30"/>
      <c r="AT147" s="12"/>
      <c r="AU147" s="12"/>
      <c r="AV147" s="12"/>
      <c r="AW147" s="12"/>
      <c r="AX147" s="12"/>
      <c r="AY147" s="12"/>
      <c r="AZ147" s="12"/>
      <c r="BA147" s="31"/>
      <c r="BD147" s="30"/>
      <c r="BE147" s="12"/>
      <c r="BF147" s="12"/>
      <c r="BG147" s="12"/>
      <c r="BH147" s="12"/>
      <c r="BI147" s="12"/>
      <c r="BJ147" s="12"/>
      <c r="BK147" s="12"/>
      <c r="BL147" s="31"/>
      <c r="BO147" s="30"/>
      <c r="BP147" s="12"/>
      <c r="BQ147" s="12"/>
      <c r="BR147" s="12"/>
      <c r="BS147" s="12"/>
      <c r="BT147" s="12"/>
      <c r="BU147" s="12"/>
      <c r="BV147" s="12"/>
      <c r="BW147" s="31"/>
      <c r="BZ147" s="30"/>
      <c r="CA147" s="12"/>
      <c r="CB147" s="12"/>
      <c r="CC147" s="12"/>
      <c r="CD147" s="12"/>
      <c r="CE147" s="12"/>
      <c r="CF147" s="12"/>
      <c r="CG147" s="12"/>
      <c r="CH147" s="31"/>
      <c r="CK147" s="30"/>
      <c r="CL147" s="12"/>
      <c r="CM147" s="12"/>
      <c r="CN147" s="12"/>
      <c r="CO147" s="12"/>
      <c r="CP147" s="12"/>
      <c r="CQ147" s="12"/>
      <c r="CR147" s="12"/>
      <c r="CS147" s="31"/>
      <c r="CX147" s="30"/>
      <c r="CY147" s="12"/>
      <c r="CZ147" s="12"/>
      <c r="DA147" s="12"/>
      <c r="DB147" s="12"/>
      <c r="DC147" s="12"/>
      <c r="DD147" s="12"/>
      <c r="DE147" s="12"/>
      <c r="DF147" s="31"/>
      <c r="DH147" s="11"/>
      <c r="DO147" s="10"/>
      <c r="DP147" s="30"/>
      <c r="DQ147" s="12"/>
      <c r="DR147" s="12"/>
      <c r="DS147" s="12"/>
      <c r="DT147" s="12"/>
      <c r="DU147" s="12"/>
      <c r="DV147" s="12"/>
      <c r="DW147" s="31"/>
      <c r="DZ147" s="30"/>
      <c r="EA147" s="12"/>
      <c r="EB147" s="12"/>
      <c r="EC147" s="12"/>
      <c r="ED147" s="12"/>
      <c r="EE147" s="12"/>
      <c r="EF147" s="12"/>
      <c r="EG147" s="31"/>
      <c r="EJ147" s="30"/>
      <c r="EK147" s="12"/>
      <c r="EL147" s="12"/>
      <c r="EM147" s="12"/>
      <c r="EN147" s="12"/>
      <c r="EO147" s="12"/>
      <c r="EP147" s="12"/>
      <c r="EQ147" s="31"/>
      <c r="ET147" s="30"/>
      <c r="EU147" s="12"/>
      <c r="EV147" s="12"/>
      <c r="EW147" s="12"/>
      <c r="EX147" s="12"/>
      <c r="EY147" s="12"/>
      <c r="EZ147" s="12"/>
      <c r="FA147" s="31"/>
      <c r="FD147" s="30"/>
      <c r="FE147" s="12"/>
      <c r="FF147" s="12"/>
      <c r="FG147" s="12"/>
      <c r="FH147" s="12"/>
      <c r="FI147" s="12"/>
      <c r="FJ147" s="12"/>
      <c r="FK147" s="31"/>
      <c r="FN147" s="30"/>
      <c r="FO147" s="12"/>
      <c r="FP147" s="12"/>
      <c r="FQ147" s="12"/>
      <c r="FR147" s="12"/>
      <c r="FS147" s="12"/>
      <c r="FT147" s="12"/>
      <c r="FU147" s="12"/>
      <c r="FV147" s="12"/>
      <c r="FW147" s="31"/>
      <c r="FZ147" s="30"/>
      <c r="GA147" s="12"/>
      <c r="GB147" s="12"/>
      <c r="GC147" s="12"/>
      <c r="GD147" s="12"/>
      <c r="GE147" s="12"/>
      <c r="GF147" s="12"/>
      <c r="GG147" s="12"/>
      <c r="GH147" s="12"/>
      <c r="GI147" s="31"/>
      <c r="GL147" s="30"/>
      <c r="GM147" s="12"/>
      <c r="GN147" s="12"/>
      <c r="GO147" s="12"/>
      <c r="GP147" s="12"/>
      <c r="GQ147" s="12"/>
      <c r="GR147" s="12"/>
      <c r="GS147" s="12"/>
      <c r="GT147" s="12"/>
      <c r="GU147" s="31"/>
      <c r="GX147" s="30"/>
      <c r="GY147" s="12"/>
      <c r="GZ147" s="12"/>
      <c r="HA147" s="12"/>
      <c r="HB147" s="12"/>
      <c r="HC147" s="12"/>
      <c r="HD147" s="31"/>
      <c r="HE147" s="11"/>
      <c r="HM147" s="10"/>
      <c r="KQ147" s="11"/>
      <c r="KX147" s="63"/>
      <c r="KY147" s="64"/>
      <c r="KZ147" s="64"/>
      <c r="LA147" s="64"/>
      <c r="LB147" s="64"/>
      <c r="LC147" s="64"/>
      <c r="LD147" s="64"/>
      <c r="LE147" s="64"/>
      <c r="LF147" s="64"/>
      <c r="LG147" s="64"/>
      <c r="LH147" s="64"/>
      <c r="LI147" s="64"/>
      <c r="LJ147" s="64"/>
      <c r="LK147" s="64"/>
      <c r="LL147" s="65"/>
      <c r="LP147" s="11"/>
    </row>
    <row r="148" spans="3:328" x14ac:dyDescent="0.25">
      <c r="C148" s="8"/>
      <c r="D148" s="8"/>
      <c r="E148" s="8"/>
      <c r="F148" s="8"/>
      <c r="G148" s="8"/>
      <c r="H148" s="8"/>
      <c r="I148" s="8"/>
      <c r="J148" s="9"/>
      <c r="O148" s="10"/>
      <c r="DH148" s="11"/>
      <c r="DO148" s="10"/>
      <c r="HE148" s="11"/>
      <c r="HM148" s="10"/>
      <c r="KQ148" s="11"/>
      <c r="KX148" s="63"/>
      <c r="KY148" s="64"/>
      <c r="KZ148" s="64"/>
      <c r="LA148" s="64"/>
      <c r="LB148" s="64"/>
      <c r="LC148" s="64"/>
      <c r="LD148" s="64"/>
      <c r="LE148" s="64"/>
      <c r="LF148" s="64"/>
      <c r="LG148" s="64"/>
      <c r="LH148" s="64"/>
      <c r="LI148" s="64"/>
      <c r="LJ148" s="64"/>
      <c r="LK148" s="64"/>
      <c r="LL148" s="65"/>
      <c r="LP148" s="11"/>
    </row>
    <row r="149" spans="3:328" x14ac:dyDescent="0.25">
      <c r="C149" s="8"/>
      <c r="D149" s="8"/>
      <c r="E149" s="8"/>
      <c r="F149" s="8"/>
      <c r="G149" s="8"/>
      <c r="H149" s="8"/>
      <c r="I149" s="8"/>
      <c r="J149" s="9"/>
      <c r="O149" s="30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31"/>
      <c r="DO149" s="30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17" t="s">
        <v>278</v>
      </c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31"/>
      <c r="HM149" s="30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/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/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/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/>
      <c r="KH149" s="12"/>
      <c r="KI149" s="12"/>
      <c r="KJ149" s="12"/>
      <c r="KK149" s="12"/>
      <c r="KL149" s="12"/>
      <c r="KM149" s="12"/>
      <c r="KN149" s="12"/>
      <c r="KO149" s="12"/>
      <c r="KP149" s="12"/>
      <c r="KQ149" s="31"/>
      <c r="KX149" s="73"/>
      <c r="KY149" s="74"/>
      <c r="KZ149" s="74"/>
      <c r="LA149" s="74"/>
      <c r="LB149" s="74"/>
      <c r="LC149" s="74"/>
      <c r="LD149" s="74"/>
      <c r="LE149" s="74"/>
      <c r="LF149" s="74"/>
      <c r="LG149" s="74"/>
      <c r="LH149" s="74"/>
      <c r="LI149" s="74"/>
      <c r="LJ149" s="74"/>
      <c r="LK149" s="74"/>
      <c r="LL149" s="75"/>
      <c r="LP149" s="11"/>
    </row>
    <row r="150" spans="3:328" x14ac:dyDescent="0.25">
      <c r="C150" s="8"/>
      <c r="D150" s="8"/>
      <c r="E150" s="8"/>
      <c r="F150" s="8"/>
      <c r="G150" s="8"/>
      <c r="H150" s="8"/>
      <c r="I150" s="8"/>
      <c r="J150" s="9"/>
      <c r="LP150" s="11"/>
    </row>
    <row r="151" spans="3:328" x14ac:dyDescent="0.25">
      <c r="C151" s="47"/>
      <c r="D151" s="47"/>
      <c r="E151" s="47"/>
      <c r="F151" s="47"/>
      <c r="G151" s="47"/>
      <c r="H151" s="47"/>
      <c r="I151" s="47"/>
      <c r="J151" s="48"/>
      <c r="LP151" s="11"/>
    </row>
    <row r="152" spans="3:328" x14ac:dyDescent="0.25">
      <c r="C152" s="47"/>
      <c r="D152" s="47"/>
      <c r="E152" s="47"/>
      <c r="F152" s="47"/>
      <c r="G152" s="47"/>
      <c r="H152" s="47"/>
      <c r="I152" s="47"/>
      <c r="J152" s="48"/>
      <c r="BF152" t="s">
        <v>257</v>
      </c>
      <c r="FH152" t="s">
        <v>258</v>
      </c>
      <c r="LP152" s="11"/>
    </row>
    <row r="153" spans="3:328" x14ac:dyDescent="0.25">
      <c r="C153" s="47"/>
      <c r="D153" s="47"/>
      <c r="E153" s="47"/>
      <c r="F153" s="47"/>
      <c r="G153" s="47"/>
      <c r="H153" s="47"/>
      <c r="I153" s="47"/>
      <c r="J153" s="48"/>
      <c r="LP153" s="11"/>
    </row>
    <row r="154" spans="3:328" x14ac:dyDescent="0.25">
      <c r="C154" s="51"/>
      <c r="D154" s="51"/>
      <c r="E154" s="51"/>
      <c r="F154" s="51"/>
      <c r="G154" s="51"/>
      <c r="H154" s="51"/>
      <c r="I154" s="51"/>
      <c r="J154" s="52"/>
      <c r="K154" s="12"/>
      <c r="L154" s="12"/>
      <c r="M154" s="12"/>
      <c r="N154" s="12"/>
      <c r="O154" s="12"/>
      <c r="P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/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/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/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/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/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/>
      <c r="LH154" s="12"/>
      <c r="LI154" s="12"/>
      <c r="LJ154" s="12"/>
      <c r="LK154" s="12"/>
      <c r="LL154" s="12"/>
      <c r="LM154" s="12"/>
      <c r="LN154" s="12"/>
      <c r="LO154" s="12"/>
      <c r="LP154" s="31"/>
    </row>
    <row r="155" spans="3:328" x14ac:dyDescent="0.25"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</sheetData>
  <mergeCells count="406">
    <mergeCell ref="BB46:BD46"/>
    <mergeCell ref="AQ46:AS46"/>
    <mergeCell ref="AF46:AH46"/>
    <mergeCell ref="CI46:CK46"/>
    <mergeCell ref="U46:W46"/>
    <mergeCell ref="U57:W57"/>
    <mergeCell ref="BM57:BO57"/>
    <mergeCell ref="CI56:CK56"/>
    <mergeCell ref="CT56:CV56"/>
    <mergeCell ref="EX57:EZ57"/>
    <mergeCell ref="AM135:AO135"/>
    <mergeCell ref="AB135:AD135"/>
    <mergeCell ref="AX135:AZ135"/>
    <mergeCell ref="BI135:BK135"/>
    <mergeCell ref="BT135:BV135"/>
    <mergeCell ref="BT98:BV98"/>
    <mergeCell ref="CP53:CV54"/>
    <mergeCell ref="CA98:CC98"/>
    <mergeCell ref="CF98:CH98"/>
    <mergeCell ref="EC106:EJ106"/>
    <mergeCell ref="EO106:EV106"/>
    <mergeCell ref="BC97:BE97"/>
    <mergeCell ref="BH97:BJ97"/>
    <mergeCell ref="BO97:BQ97"/>
    <mergeCell ref="BT97:BV97"/>
    <mergeCell ref="CA97:CC97"/>
    <mergeCell ref="BX57:BZ57"/>
    <mergeCell ref="ED56:EF56"/>
    <mergeCell ref="EN56:EP56"/>
    <mergeCell ref="EX56:EZ56"/>
    <mergeCell ref="CF97:CH97"/>
    <mergeCell ref="CM97:CO97"/>
    <mergeCell ref="CR97:CT97"/>
    <mergeCell ref="FH56:FJ56"/>
    <mergeCell ref="AF57:AH57"/>
    <mergeCell ref="AQ57:AS57"/>
    <mergeCell ref="BB57:BD57"/>
    <mergeCell ref="IM19:IO19"/>
    <mergeCell ref="IM45:IO45"/>
    <mergeCell ref="HO55:HQ55"/>
    <mergeCell ref="HT55:HV55"/>
    <mergeCell ref="IA55:IC55"/>
    <mergeCell ref="IF55:IH55"/>
    <mergeCell ref="IF45:IH45"/>
    <mergeCell ref="IA45:IC45"/>
    <mergeCell ref="HT45:HV45"/>
    <mergeCell ref="HO45:HQ45"/>
    <mergeCell ref="CI57:CK57"/>
    <mergeCell ref="CT57:CV57"/>
    <mergeCell ref="DS57:DU57"/>
    <mergeCell ref="ED57:EF57"/>
    <mergeCell ref="EN57:EP57"/>
    <mergeCell ref="FH57:FJ57"/>
    <mergeCell ref="GB46:GD46"/>
    <mergeCell ref="FR57:FT57"/>
    <mergeCell ref="GB57:GD57"/>
    <mergeCell ref="GL57:GN57"/>
    <mergeCell ref="IR19:IT19"/>
    <mergeCell ref="IY19:JA19"/>
    <mergeCell ref="JD19:JF19"/>
    <mergeCell ref="JK19:JM19"/>
    <mergeCell ref="JP19:JR19"/>
    <mergeCell ref="JW19:JY19"/>
    <mergeCell ref="KB19:KD19"/>
    <mergeCell ref="KN45:KP45"/>
    <mergeCell ref="KI45:KK45"/>
    <mergeCell ref="KB45:KD45"/>
    <mergeCell ref="JW45:JY45"/>
    <mergeCell ref="JP45:JR45"/>
    <mergeCell ref="JK45:JM45"/>
    <mergeCell ref="JD45:JF45"/>
    <mergeCell ref="IY45:JA45"/>
    <mergeCell ref="IR45:IT45"/>
    <mergeCell ref="V8:X8"/>
    <mergeCell ref="AC8:AE8"/>
    <mergeCell ref="AH8:AJ8"/>
    <mergeCell ref="AO8:AQ8"/>
    <mergeCell ref="AT8:AV8"/>
    <mergeCell ref="BA8:BC8"/>
    <mergeCell ref="KB8:KD8"/>
    <mergeCell ref="V9:X9"/>
    <mergeCell ref="AC9:AE9"/>
    <mergeCell ref="AH9:AJ9"/>
    <mergeCell ref="AO9:AQ9"/>
    <mergeCell ref="AT9:AV9"/>
    <mergeCell ref="BA9:BC9"/>
    <mergeCell ref="IA8:IC8"/>
    <mergeCell ref="IF8:IH8"/>
    <mergeCell ref="IM8:IO8"/>
    <mergeCell ref="IR8:IT8"/>
    <mergeCell ref="IY8:JA8"/>
    <mergeCell ref="JD8:JF8"/>
    <mergeCell ref="FY8:GA8"/>
    <mergeCell ref="GD8:GF8"/>
    <mergeCell ref="GK8:GM8"/>
    <mergeCell ref="GP8:GR8"/>
    <mergeCell ref="HO8:HQ8"/>
    <mergeCell ref="BF9:BH9"/>
    <mergeCell ref="BM9:BO9"/>
    <mergeCell ref="BR9:BT9"/>
    <mergeCell ref="BY9:CA9"/>
    <mergeCell ref="CD9:CF9"/>
    <mergeCell ref="CK9:CM9"/>
    <mergeCell ref="BF8:BH8"/>
    <mergeCell ref="BM8:BO8"/>
    <mergeCell ref="BR8:BT8"/>
    <mergeCell ref="BY8:CA8"/>
    <mergeCell ref="CD8:CF8"/>
    <mergeCell ref="CK8:CM8"/>
    <mergeCell ref="JK8:JM8"/>
    <mergeCell ref="JP8:JR8"/>
    <mergeCell ref="JW8:JY8"/>
    <mergeCell ref="FR8:FT8"/>
    <mergeCell ref="CP8:CR8"/>
    <mergeCell ref="DB8:DD8"/>
    <mergeCell ref="DQ8:DS8"/>
    <mergeCell ref="DV8:DX8"/>
    <mergeCell ref="EC8:EE8"/>
    <mergeCell ref="EH8:EJ8"/>
    <mergeCell ref="HT8:HV8"/>
    <mergeCell ref="EO8:EQ8"/>
    <mergeCell ref="ET8:EV8"/>
    <mergeCell ref="FA8:FC8"/>
    <mergeCell ref="FF8:FH8"/>
    <mergeCell ref="FM8:FO8"/>
    <mergeCell ref="CP9:CR9"/>
    <mergeCell ref="DB9:DD9"/>
    <mergeCell ref="DQ9:DS9"/>
    <mergeCell ref="DV9:DX9"/>
    <mergeCell ref="EC9:EE9"/>
    <mergeCell ref="EH9:EJ9"/>
    <mergeCell ref="LB12:LH20"/>
    <mergeCell ref="JW9:JY9"/>
    <mergeCell ref="KB9:KD9"/>
    <mergeCell ref="JW17:KD17"/>
    <mergeCell ref="IA17:IH17"/>
    <mergeCell ref="IM17:IT17"/>
    <mergeCell ref="IY17:JF17"/>
    <mergeCell ref="GY12:HD24"/>
    <mergeCell ref="HO9:HQ9"/>
    <mergeCell ref="HT9:HV9"/>
    <mergeCell ref="EO9:EQ9"/>
    <mergeCell ref="ET9:EV9"/>
    <mergeCell ref="FA9:FC9"/>
    <mergeCell ref="FF9:FH9"/>
    <mergeCell ref="HO19:HQ19"/>
    <mergeCell ref="HT19:HV19"/>
    <mergeCell ref="IA19:IC19"/>
    <mergeCell ref="IF19:IH19"/>
    <mergeCell ref="FY9:GA9"/>
    <mergeCell ref="GD9:GF9"/>
    <mergeCell ref="GK9:GM9"/>
    <mergeCell ref="GP9:GR9"/>
    <mergeCell ref="JK17:JR17"/>
    <mergeCell ref="GK17:GR17"/>
    <mergeCell ref="HO17:HV17"/>
    <mergeCell ref="FM9:FO9"/>
    <mergeCell ref="FR9:FT9"/>
    <mergeCell ref="JK9:JM9"/>
    <mergeCell ref="JP9:JR9"/>
    <mergeCell ref="IC11:II12"/>
    <mergeCell ref="JM11:JS12"/>
    <mergeCell ref="IA9:IC9"/>
    <mergeCell ref="IF9:IH9"/>
    <mergeCell ref="IM9:IO9"/>
    <mergeCell ref="IR9:IT9"/>
    <mergeCell ref="IY9:JA9"/>
    <mergeCell ref="JD9:JF9"/>
    <mergeCell ref="FY17:GF17"/>
    <mergeCell ref="CK17:CR17"/>
    <mergeCell ref="DQ17:DX17"/>
    <mergeCell ref="EC17:EJ17"/>
    <mergeCell ref="EO17:EV17"/>
    <mergeCell ref="FA17:FH17"/>
    <mergeCell ref="FM17:FT17"/>
    <mergeCell ref="V16:X17"/>
    <mergeCell ref="DB16:DD17"/>
    <mergeCell ref="AC17:AJ17"/>
    <mergeCell ref="AO17:AV17"/>
    <mergeCell ref="BA17:BH17"/>
    <mergeCell ref="BM17:BT17"/>
    <mergeCell ref="BY17:CF17"/>
    <mergeCell ref="LB43:LH51"/>
    <mergeCell ref="HN52:HT53"/>
    <mergeCell ref="IO52:IU53"/>
    <mergeCell ref="JY52:KE53"/>
    <mergeCell ref="BT53:BZ54"/>
    <mergeCell ref="FA18:FC18"/>
    <mergeCell ref="FF18:FH18"/>
    <mergeCell ref="FM18:FO18"/>
    <mergeCell ref="FR18:FT18"/>
    <mergeCell ref="FY18:GA18"/>
    <mergeCell ref="GD18:GF18"/>
    <mergeCell ref="DQ18:DS18"/>
    <mergeCell ref="DV18:DX18"/>
    <mergeCell ref="EC18:EE18"/>
    <mergeCell ref="EH18:EJ18"/>
    <mergeCell ref="EO18:EQ18"/>
    <mergeCell ref="ET18:EV18"/>
    <mergeCell ref="BR18:BT18"/>
    <mergeCell ref="BY18:CA18"/>
    <mergeCell ref="CD18:CF18"/>
    <mergeCell ref="CK18:CM18"/>
    <mergeCell ref="CP18:CR18"/>
    <mergeCell ref="DB18:DD18"/>
    <mergeCell ref="KK12:KP24"/>
    <mergeCell ref="GK18:GM18"/>
    <mergeCell ref="GP18:GR18"/>
    <mergeCell ref="C25:I37"/>
    <mergeCell ref="DB43:DG55"/>
    <mergeCell ref="GY43:HD51"/>
    <mergeCell ref="V18:X18"/>
    <mergeCell ref="AC18:AE18"/>
    <mergeCell ref="AH18:AJ18"/>
    <mergeCell ref="AO18:AQ18"/>
    <mergeCell ref="AT18:AV18"/>
    <mergeCell ref="BA18:BC18"/>
    <mergeCell ref="BF18:BH18"/>
    <mergeCell ref="BM18:BO18"/>
    <mergeCell ref="GL46:GN46"/>
    <mergeCell ref="BX46:BZ46"/>
    <mergeCell ref="BM46:BO46"/>
    <mergeCell ref="FE53:FK54"/>
    <mergeCell ref="FR46:FT46"/>
    <mergeCell ref="FH46:FJ46"/>
    <mergeCell ref="EX46:EZ46"/>
    <mergeCell ref="EN46:EP46"/>
    <mergeCell ref="ED46:EF46"/>
    <mergeCell ref="DT46:DV46"/>
    <mergeCell ref="CT46:CV46"/>
    <mergeCell ref="JW55:JY55"/>
    <mergeCell ref="KB55:KD55"/>
    <mergeCell ref="KI55:KK55"/>
    <mergeCell ref="KN55:KP55"/>
    <mergeCell ref="U56:W56"/>
    <mergeCell ref="AF56:AH56"/>
    <mergeCell ref="AQ56:AS56"/>
    <mergeCell ref="BB56:BD56"/>
    <mergeCell ref="BM56:BO56"/>
    <mergeCell ref="BX56:BZ56"/>
    <mergeCell ref="IM55:IO55"/>
    <mergeCell ref="IR55:IT55"/>
    <mergeCell ref="IY55:JA55"/>
    <mergeCell ref="JD55:JF55"/>
    <mergeCell ref="JK55:JM55"/>
    <mergeCell ref="JP55:JR55"/>
    <mergeCell ref="JP56:JR56"/>
    <mergeCell ref="JW56:JY56"/>
    <mergeCell ref="KB56:KD56"/>
    <mergeCell ref="KI56:KK56"/>
    <mergeCell ref="KN56:KP56"/>
    <mergeCell ref="IF56:IH56"/>
    <mergeCell ref="IM56:IO56"/>
    <mergeCell ref="IR56:IT56"/>
    <mergeCell ref="IY56:JA56"/>
    <mergeCell ref="JD56:JF56"/>
    <mergeCell ref="JK56:JM56"/>
    <mergeCell ref="FR56:FT56"/>
    <mergeCell ref="GB56:GD56"/>
    <mergeCell ref="GL56:GN56"/>
    <mergeCell ref="HO56:HQ56"/>
    <mergeCell ref="HT56:HV56"/>
    <mergeCell ref="IA56:IC56"/>
    <mergeCell ref="HA97:HC97"/>
    <mergeCell ref="EH97:EJ97"/>
    <mergeCell ref="EO97:EQ97"/>
    <mergeCell ref="ET97:EV97"/>
    <mergeCell ref="FA97:FC97"/>
    <mergeCell ref="FF97:FH97"/>
    <mergeCell ref="FM97:FO97"/>
    <mergeCell ref="FY97:GA97"/>
    <mergeCell ref="GD97:GF97"/>
    <mergeCell ref="GO97:GQ97"/>
    <mergeCell ref="GV97:GX97"/>
    <mergeCell ref="GJ97:GL97"/>
    <mergeCell ref="CY97:DA97"/>
    <mergeCell ref="DD97:DF97"/>
    <mergeCell ref="EC97:EE97"/>
    <mergeCell ref="FR97:FT97"/>
    <mergeCell ref="FM106:FT106"/>
    <mergeCell ref="HA98:HC98"/>
    <mergeCell ref="BC105:BJ105"/>
    <mergeCell ref="BO105:BV105"/>
    <mergeCell ref="CA105:CH105"/>
    <mergeCell ref="CM105:CT105"/>
    <mergeCell ref="CY105:DF105"/>
    <mergeCell ref="EO98:EQ98"/>
    <mergeCell ref="ET98:EV98"/>
    <mergeCell ref="FA98:FC98"/>
    <mergeCell ref="FF98:FH98"/>
    <mergeCell ref="FM98:FO98"/>
    <mergeCell ref="FR98:FT98"/>
    <mergeCell ref="CM98:CO98"/>
    <mergeCell ref="CR98:CT98"/>
    <mergeCell ref="CY98:DA98"/>
    <mergeCell ref="DD98:DF98"/>
    <mergeCell ref="EC98:EE98"/>
    <mergeCell ref="EH98:EJ98"/>
    <mergeCell ref="BC98:BE98"/>
    <mergeCell ref="BH98:BJ98"/>
    <mergeCell ref="GV105:HC105"/>
    <mergeCell ref="BO98:BQ98"/>
    <mergeCell ref="FY106:GF106"/>
    <mergeCell ref="GJ106:GQ106"/>
    <mergeCell ref="GV106:HC106"/>
    <mergeCell ref="BC107:BE107"/>
    <mergeCell ref="BH107:BJ107"/>
    <mergeCell ref="BO107:BQ107"/>
    <mergeCell ref="BT107:BV107"/>
    <mergeCell ref="CA107:CC107"/>
    <mergeCell ref="CF107:CH107"/>
    <mergeCell ref="HA107:HC107"/>
    <mergeCell ref="CM107:CO107"/>
    <mergeCell ref="CR107:CT107"/>
    <mergeCell ref="CY107:DA107"/>
    <mergeCell ref="DD107:DF107"/>
    <mergeCell ref="GO107:GQ107"/>
    <mergeCell ref="GV107:GX107"/>
    <mergeCell ref="BC106:BJ106"/>
    <mergeCell ref="BO106:BV106"/>
    <mergeCell ref="CA106:CH106"/>
    <mergeCell ref="CM106:CT106"/>
    <mergeCell ref="CY106:DF106"/>
    <mergeCell ref="GV98:GX98"/>
    <mergeCell ref="C114:I126"/>
    <mergeCell ref="FO135:FV135"/>
    <mergeCell ref="GA135:GH135"/>
    <mergeCell ref="GM135:GT135"/>
    <mergeCell ref="FO136:FQ136"/>
    <mergeCell ref="FT136:FV136"/>
    <mergeCell ref="GA136:GC136"/>
    <mergeCell ref="GF136:GH136"/>
    <mergeCell ref="GM136:GO136"/>
    <mergeCell ref="GR136:GT136"/>
    <mergeCell ref="CE135:CG135"/>
    <mergeCell ref="CP135:CR135"/>
    <mergeCell ref="DT135:DV135"/>
    <mergeCell ref="ED135:EF135"/>
    <mergeCell ref="EN135:EP135"/>
    <mergeCell ref="EX135:EZ135"/>
    <mergeCell ref="FH135:FJ135"/>
    <mergeCell ref="GJ98:GL98"/>
    <mergeCell ref="FY98:GA98"/>
    <mergeCell ref="GD98:GF98"/>
    <mergeCell ref="GO98:GQ98"/>
    <mergeCell ref="GJ107:GL107"/>
    <mergeCell ref="FA106:FH106"/>
    <mergeCell ref="BE142:BK143"/>
    <mergeCell ref="DQ142:DV143"/>
    <mergeCell ref="AI144:AO144"/>
    <mergeCell ref="AT144:AZ144"/>
    <mergeCell ref="BE144:BK144"/>
    <mergeCell ref="BP144:BV144"/>
    <mergeCell ref="CA144:CG144"/>
    <mergeCell ref="CL144:CR144"/>
    <mergeCell ref="DQ144:DV144"/>
    <mergeCell ref="EN145:EP145"/>
    <mergeCell ref="EX145:EZ145"/>
    <mergeCell ref="AB145:AD145"/>
    <mergeCell ref="AM145:AO145"/>
    <mergeCell ref="AX145:AZ145"/>
    <mergeCell ref="BI145:BK145"/>
    <mergeCell ref="BT145:BV145"/>
    <mergeCell ref="CE145:CG145"/>
    <mergeCell ref="CP145:CR145"/>
    <mergeCell ref="DT145:DV145"/>
    <mergeCell ref="ED145:EF145"/>
    <mergeCell ref="DT146:DV146"/>
    <mergeCell ref="ED146:EF146"/>
    <mergeCell ref="EN146:EP146"/>
    <mergeCell ref="EX146:EZ146"/>
    <mergeCell ref="FH146:FJ146"/>
    <mergeCell ref="FO146:FQ146"/>
    <mergeCell ref="AB146:AD146"/>
    <mergeCell ref="AM146:AO146"/>
    <mergeCell ref="AX146:AZ146"/>
    <mergeCell ref="BI146:BK146"/>
    <mergeCell ref="BT146:BV146"/>
    <mergeCell ref="CE146:CG146"/>
    <mergeCell ref="CP146:CR146"/>
    <mergeCell ref="GF145:GH145"/>
    <mergeCell ref="GM145:GO145"/>
    <mergeCell ref="GR145:GT145"/>
    <mergeCell ref="FH145:FJ145"/>
    <mergeCell ref="FO145:FQ145"/>
    <mergeCell ref="FT145:FV145"/>
    <mergeCell ref="GA145:GC145"/>
    <mergeCell ref="FT146:FV146"/>
    <mergeCell ref="GA146:GC146"/>
    <mergeCell ref="GF146:GH146"/>
    <mergeCell ref="GM146:GO146"/>
    <mergeCell ref="GR146:GT146"/>
    <mergeCell ref="DD101:DF101"/>
    <mergeCell ref="GD107:GF107"/>
    <mergeCell ref="FY107:GA107"/>
    <mergeCell ref="FR107:FT107"/>
    <mergeCell ref="GJ105:GQ105"/>
    <mergeCell ref="GM144:GT144"/>
    <mergeCell ref="EA144:EF144"/>
    <mergeCell ref="EK144:EP144"/>
    <mergeCell ref="EU144:EZ144"/>
    <mergeCell ref="FE144:FJ144"/>
    <mergeCell ref="FO144:FV144"/>
    <mergeCell ref="GA144:GH144"/>
    <mergeCell ref="FY105:GF105"/>
    <mergeCell ref="FM105:FT105"/>
  </mergeCells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2"/>
  <sheetViews>
    <sheetView topLeftCell="A42" zoomScale="117" workbookViewId="0">
      <selection activeCell="E58" sqref="E58"/>
    </sheetView>
  </sheetViews>
  <sheetFormatPr defaultRowHeight="15" x14ac:dyDescent="0.25"/>
  <cols>
    <col min="1" max="1" width="10.140625" bestFit="1" customWidth="1"/>
  </cols>
  <sheetData>
    <row r="1" spans="1:4" x14ac:dyDescent="0.25">
      <c r="A1" t="s">
        <v>254</v>
      </c>
      <c r="B1" t="s">
        <v>253</v>
      </c>
    </row>
    <row r="2" spans="1:4" x14ac:dyDescent="0.25">
      <c r="A2" s="107">
        <v>1</v>
      </c>
      <c r="B2" s="107">
        <f>Layout!DB9</f>
        <v>131</v>
      </c>
      <c r="C2" s="110">
        <v>1</v>
      </c>
      <c r="D2" s="116" t="s">
        <v>255</v>
      </c>
    </row>
    <row r="3" spans="1:4" x14ac:dyDescent="0.25">
      <c r="A3" s="107">
        <v>2</v>
      </c>
      <c r="B3" s="107">
        <f>Layout!CP9</f>
        <v>0</v>
      </c>
      <c r="C3" s="110">
        <v>2</v>
      </c>
      <c r="D3" s="116" t="s">
        <v>255</v>
      </c>
    </row>
    <row r="4" spans="1:4" x14ac:dyDescent="0.25">
      <c r="A4" s="107">
        <v>3</v>
      </c>
      <c r="B4" s="107">
        <f>Layout!CK9</f>
        <v>132</v>
      </c>
      <c r="C4" s="110">
        <v>3</v>
      </c>
      <c r="D4" s="116" t="s">
        <v>255</v>
      </c>
    </row>
    <row r="5" spans="1:4" x14ac:dyDescent="0.25">
      <c r="A5" s="107">
        <v>4</v>
      </c>
      <c r="B5" s="107">
        <f>Layout!CD9</f>
        <v>129</v>
      </c>
      <c r="C5" s="110">
        <v>4</v>
      </c>
      <c r="D5" s="116" t="s">
        <v>255</v>
      </c>
    </row>
    <row r="6" spans="1:4" x14ac:dyDescent="0.25">
      <c r="A6" s="107">
        <v>5</v>
      </c>
      <c r="B6" s="107">
        <f>Layout!BY9</f>
        <v>130</v>
      </c>
      <c r="C6" s="110">
        <v>5</v>
      </c>
      <c r="D6" s="116" t="s">
        <v>255</v>
      </c>
    </row>
    <row r="7" spans="1:4" x14ac:dyDescent="0.25">
      <c r="A7" s="107">
        <v>6</v>
      </c>
      <c r="B7" s="107">
        <f>Layout!BR9</f>
        <v>128</v>
      </c>
      <c r="C7" s="110">
        <v>6</v>
      </c>
      <c r="D7" s="116" t="s">
        <v>255</v>
      </c>
    </row>
    <row r="8" spans="1:4" x14ac:dyDescent="0.25">
      <c r="A8" s="107">
        <v>7</v>
      </c>
      <c r="B8" s="107">
        <f>Layout!BM9</f>
        <v>133</v>
      </c>
      <c r="C8" s="110">
        <v>7</v>
      </c>
      <c r="D8" s="116" t="s">
        <v>255</v>
      </c>
    </row>
    <row r="9" spans="1:4" x14ac:dyDescent="0.25">
      <c r="A9" s="107">
        <v>8</v>
      </c>
      <c r="B9" s="107">
        <f>Layout!BF9</f>
        <v>0</v>
      </c>
      <c r="C9" s="110">
        <v>8</v>
      </c>
      <c r="D9" s="116" t="s">
        <v>255</v>
      </c>
    </row>
    <row r="10" spans="1:4" x14ac:dyDescent="0.25">
      <c r="A10" s="107">
        <v>9</v>
      </c>
      <c r="B10" s="107">
        <f>Layout!BA9</f>
        <v>127</v>
      </c>
      <c r="C10" s="110">
        <v>9</v>
      </c>
      <c r="D10" s="116" t="s">
        <v>255</v>
      </c>
    </row>
    <row r="11" spans="1:4" x14ac:dyDescent="0.25">
      <c r="A11" s="107">
        <v>10</v>
      </c>
      <c r="B11" s="107">
        <f>Layout!AT9</f>
        <v>136</v>
      </c>
      <c r="C11" s="110">
        <v>10</v>
      </c>
      <c r="D11" s="116" t="s">
        <v>255</v>
      </c>
    </row>
    <row r="12" spans="1:4" x14ac:dyDescent="0.25">
      <c r="A12" s="107">
        <v>11</v>
      </c>
      <c r="B12" s="107">
        <f>Layout!AO9</f>
        <v>135</v>
      </c>
      <c r="C12" s="110">
        <v>11</v>
      </c>
      <c r="D12" s="116" t="s">
        <v>255</v>
      </c>
    </row>
    <row r="13" spans="1:4" x14ac:dyDescent="0.25">
      <c r="A13" s="107">
        <v>12</v>
      </c>
      <c r="B13" s="107">
        <f>Layout!AH9</f>
        <v>137</v>
      </c>
      <c r="C13" s="110">
        <v>12</v>
      </c>
      <c r="D13" s="116" t="s">
        <v>255</v>
      </c>
    </row>
    <row r="14" spans="1:4" x14ac:dyDescent="0.25">
      <c r="A14" s="107">
        <v>13</v>
      </c>
      <c r="B14" s="107">
        <f>Layout!AC9</f>
        <v>138</v>
      </c>
      <c r="C14" s="110">
        <v>13</v>
      </c>
      <c r="D14" s="116" t="s">
        <v>255</v>
      </c>
    </row>
    <row r="15" spans="1:4" x14ac:dyDescent="0.25">
      <c r="A15" s="107">
        <v>14</v>
      </c>
      <c r="B15" s="107">
        <f>Layout!V9</f>
        <v>139</v>
      </c>
      <c r="C15" s="110">
        <v>14</v>
      </c>
      <c r="D15" s="116" t="s">
        <v>255</v>
      </c>
    </row>
    <row r="16" spans="1:4" x14ac:dyDescent="0.25">
      <c r="A16" s="107">
        <v>15</v>
      </c>
      <c r="B16" s="107">
        <f>Layout!DQ9</f>
        <v>126</v>
      </c>
      <c r="C16" s="8">
        <v>1</v>
      </c>
      <c r="D16" s="116" t="s">
        <v>255</v>
      </c>
    </row>
    <row r="17" spans="1:4" x14ac:dyDescent="0.25">
      <c r="A17" s="107">
        <v>16</v>
      </c>
      <c r="B17" s="107">
        <f>Layout!DV9</f>
        <v>125</v>
      </c>
      <c r="C17" s="8">
        <v>2</v>
      </c>
      <c r="D17" s="116" t="s">
        <v>255</v>
      </c>
    </row>
    <row r="18" spans="1:4" x14ac:dyDescent="0.25">
      <c r="A18" s="107">
        <v>17</v>
      </c>
      <c r="B18" s="107">
        <f>Layout!EC9</f>
        <v>124</v>
      </c>
      <c r="C18" s="8">
        <v>3</v>
      </c>
      <c r="D18" s="116" t="s">
        <v>255</v>
      </c>
    </row>
    <row r="19" spans="1:4" x14ac:dyDescent="0.25">
      <c r="A19" s="107">
        <v>18</v>
      </c>
      <c r="B19" s="107">
        <f>Layout!EH9</f>
        <v>123</v>
      </c>
      <c r="C19" s="8">
        <v>4</v>
      </c>
      <c r="D19" s="116" t="s">
        <v>255</v>
      </c>
    </row>
    <row r="20" spans="1:4" x14ac:dyDescent="0.25">
      <c r="A20" s="107">
        <v>19</v>
      </c>
      <c r="B20" s="107">
        <f>Layout!EO9</f>
        <v>122</v>
      </c>
      <c r="C20" s="8">
        <v>5</v>
      </c>
      <c r="D20" s="116" t="s">
        <v>255</v>
      </c>
    </row>
    <row r="21" spans="1:4" x14ac:dyDescent="0.25">
      <c r="A21" s="107">
        <v>20</v>
      </c>
      <c r="B21" s="107">
        <f>Layout!ET9</f>
        <v>121</v>
      </c>
      <c r="C21" s="8">
        <v>6</v>
      </c>
      <c r="D21" s="116" t="s">
        <v>255</v>
      </c>
    </row>
    <row r="22" spans="1:4" x14ac:dyDescent="0.25">
      <c r="A22" s="107">
        <v>21</v>
      </c>
      <c r="B22" s="107">
        <f>Layout!FA9</f>
        <v>120</v>
      </c>
      <c r="C22" s="8">
        <v>7</v>
      </c>
      <c r="D22" s="116" t="s">
        <v>255</v>
      </c>
    </row>
    <row r="23" spans="1:4" x14ac:dyDescent="0.25">
      <c r="A23" s="107">
        <v>22</v>
      </c>
      <c r="B23" s="107">
        <f>Layout!FF9</f>
        <v>119</v>
      </c>
      <c r="C23" s="8">
        <v>8</v>
      </c>
      <c r="D23" s="116" t="s">
        <v>255</v>
      </c>
    </row>
    <row r="24" spans="1:4" x14ac:dyDescent="0.25">
      <c r="A24" s="107">
        <v>23</v>
      </c>
      <c r="B24" s="107">
        <f>Layout!FM9</f>
        <v>118</v>
      </c>
      <c r="C24" s="8">
        <v>9</v>
      </c>
      <c r="D24" s="116" t="s">
        <v>255</v>
      </c>
    </row>
    <row r="25" spans="1:4" x14ac:dyDescent="0.25">
      <c r="A25" s="107">
        <v>24</v>
      </c>
      <c r="B25" s="107">
        <f>Layout!FR9</f>
        <v>117</v>
      </c>
      <c r="C25" s="8">
        <v>10</v>
      </c>
      <c r="D25" s="116" t="s">
        <v>255</v>
      </c>
    </row>
    <row r="26" spans="1:4" x14ac:dyDescent="0.25">
      <c r="A26" s="107">
        <v>25</v>
      </c>
      <c r="B26" s="107">
        <f>Layout!FY9</f>
        <v>116</v>
      </c>
      <c r="C26" s="8">
        <v>11</v>
      </c>
      <c r="D26" s="116" t="s">
        <v>255</v>
      </c>
    </row>
    <row r="27" spans="1:4" x14ac:dyDescent="0.25">
      <c r="A27" s="107">
        <v>26</v>
      </c>
      <c r="B27" s="107">
        <f>Layout!GD9</f>
        <v>115</v>
      </c>
      <c r="C27" s="8">
        <v>12</v>
      </c>
      <c r="D27" s="116" t="s">
        <v>255</v>
      </c>
    </row>
    <row r="28" spans="1:4" x14ac:dyDescent="0.25">
      <c r="A28" s="107">
        <v>27</v>
      </c>
      <c r="B28" s="107">
        <f>Layout!GK9</f>
        <v>114</v>
      </c>
      <c r="C28" s="8">
        <v>13</v>
      </c>
      <c r="D28" s="116" t="s">
        <v>255</v>
      </c>
    </row>
    <row r="29" spans="1:4" x14ac:dyDescent="0.25">
      <c r="A29" s="107">
        <v>28</v>
      </c>
      <c r="B29" s="107">
        <f>Layout!GP9</f>
        <v>113</v>
      </c>
      <c r="C29" s="8">
        <v>14</v>
      </c>
      <c r="D29" s="116" t="s">
        <v>255</v>
      </c>
    </row>
    <row r="30" spans="1:4" x14ac:dyDescent="0.25">
      <c r="A30" s="107">
        <v>29</v>
      </c>
      <c r="B30" s="107">
        <f>Layout!HO9</f>
        <v>112</v>
      </c>
      <c r="C30">
        <v>277</v>
      </c>
      <c r="D30" s="116" t="s">
        <v>255</v>
      </c>
    </row>
    <row r="31" spans="1:4" x14ac:dyDescent="0.25">
      <c r="A31" s="107">
        <v>30</v>
      </c>
      <c r="B31" s="107">
        <f>Layout!HT9</f>
        <v>111</v>
      </c>
      <c r="C31">
        <v>278</v>
      </c>
      <c r="D31" s="116" t="s">
        <v>255</v>
      </c>
    </row>
    <row r="32" spans="1:4" x14ac:dyDescent="0.25">
      <c r="A32" s="107">
        <v>31</v>
      </c>
      <c r="B32" s="107">
        <f>Layout!IA9</f>
        <v>110</v>
      </c>
      <c r="C32">
        <v>279</v>
      </c>
      <c r="D32" s="116" t="s">
        <v>255</v>
      </c>
    </row>
    <row r="33" spans="1:4" x14ac:dyDescent="0.25">
      <c r="A33" s="107">
        <v>32</v>
      </c>
      <c r="B33" s="107">
        <f>Layout!IF9</f>
        <v>109</v>
      </c>
      <c r="C33">
        <v>280</v>
      </c>
      <c r="D33" s="116" t="s">
        <v>255</v>
      </c>
    </row>
    <row r="34" spans="1:4" x14ac:dyDescent="0.25">
      <c r="A34" s="107">
        <v>33</v>
      </c>
      <c r="B34" s="107">
        <f>Layout!IM9</f>
        <v>108</v>
      </c>
      <c r="C34">
        <v>281</v>
      </c>
      <c r="D34" s="116" t="s">
        <v>255</v>
      </c>
    </row>
    <row r="35" spans="1:4" x14ac:dyDescent="0.25">
      <c r="A35" s="107">
        <v>34</v>
      </c>
      <c r="B35" s="107">
        <f>Layout!IR9</f>
        <v>107</v>
      </c>
      <c r="C35">
        <v>282</v>
      </c>
      <c r="D35" s="116" t="s">
        <v>255</v>
      </c>
    </row>
    <row r="36" spans="1:4" x14ac:dyDescent="0.25">
      <c r="A36" s="107">
        <v>35</v>
      </c>
      <c r="B36" s="107">
        <f>Layout!IY9</f>
        <v>106</v>
      </c>
      <c r="C36">
        <v>276</v>
      </c>
      <c r="D36" s="116" t="s">
        <v>255</v>
      </c>
    </row>
    <row r="37" spans="1:4" x14ac:dyDescent="0.25">
      <c r="A37" s="107">
        <v>36</v>
      </c>
      <c r="B37" s="107">
        <f>Layout!JD9</f>
        <v>105</v>
      </c>
      <c r="C37">
        <v>275</v>
      </c>
      <c r="D37" s="116" t="s">
        <v>255</v>
      </c>
    </row>
    <row r="38" spans="1:4" x14ac:dyDescent="0.25">
      <c r="A38" s="107">
        <v>37</v>
      </c>
      <c r="B38" s="107">
        <f>Layout!JK9</f>
        <v>104</v>
      </c>
      <c r="C38">
        <v>274</v>
      </c>
      <c r="D38" s="116" t="s">
        <v>255</v>
      </c>
    </row>
    <row r="39" spans="1:4" x14ac:dyDescent="0.25">
      <c r="A39" s="107">
        <v>38</v>
      </c>
      <c r="B39" s="107">
        <f>Layout!JP9</f>
        <v>103</v>
      </c>
      <c r="C39">
        <v>273</v>
      </c>
      <c r="D39" s="116" t="s">
        <v>255</v>
      </c>
    </row>
    <row r="40" spans="1:4" x14ac:dyDescent="0.25">
      <c r="A40" s="107">
        <v>39</v>
      </c>
      <c r="B40" s="107">
        <f>Layout!JW9</f>
        <v>102</v>
      </c>
      <c r="C40">
        <v>272</v>
      </c>
      <c r="D40" s="116" t="s">
        <v>255</v>
      </c>
    </row>
    <row r="41" spans="1:4" x14ac:dyDescent="0.25">
      <c r="A41" s="107">
        <v>40</v>
      </c>
      <c r="B41" s="107">
        <f>Layout!KB9</f>
        <v>101</v>
      </c>
      <c r="C41">
        <v>271</v>
      </c>
      <c r="D41" s="116" t="s">
        <v>255</v>
      </c>
    </row>
    <row r="42" spans="1:4" x14ac:dyDescent="0.25">
      <c r="A42" s="107">
        <v>41</v>
      </c>
      <c r="B42" s="107">
        <f>Layout!U57</f>
        <v>0</v>
      </c>
      <c r="C42">
        <v>216</v>
      </c>
      <c r="D42" s="116" t="s">
        <v>255</v>
      </c>
    </row>
    <row r="43" spans="1:4" x14ac:dyDescent="0.25">
      <c r="A43" s="107">
        <v>42</v>
      </c>
      <c r="B43" s="107">
        <f>Layout!AF57</f>
        <v>174</v>
      </c>
      <c r="C43">
        <v>217</v>
      </c>
      <c r="D43" s="116" t="s">
        <v>255</v>
      </c>
    </row>
    <row r="44" spans="1:4" x14ac:dyDescent="0.25">
      <c r="A44" s="107">
        <v>43</v>
      </c>
      <c r="B44" s="107">
        <f>Layout!AQ57</f>
        <v>173</v>
      </c>
      <c r="C44">
        <v>218</v>
      </c>
      <c r="D44" s="116" t="s">
        <v>255</v>
      </c>
    </row>
    <row r="45" spans="1:4" x14ac:dyDescent="0.25">
      <c r="A45" s="107">
        <v>44</v>
      </c>
      <c r="B45" s="107">
        <f>Layout!BB57</f>
        <v>172</v>
      </c>
      <c r="C45">
        <v>219</v>
      </c>
      <c r="D45" s="116" t="s">
        <v>255</v>
      </c>
    </row>
    <row r="46" spans="1:4" x14ac:dyDescent="0.25">
      <c r="A46" s="107">
        <v>45</v>
      </c>
      <c r="B46" s="107">
        <f>Layout!BM57</f>
        <v>171</v>
      </c>
      <c r="C46">
        <v>220</v>
      </c>
      <c r="D46" s="116" t="s">
        <v>255</v>
      </c>
    </row>
    <row r="47" spans="1:4" x14ac:dyDescent="0.25">
      <c r="A47" s="107">
        <v>46</v>
      </c>
      <c r="B47" s="107">
        <f>Layout!BX57</f>
        <v>170</v>
      </c>
      <c r="C47">
        <v>221</v>
      </c>
      <c r="D47" s="116" t="s">
        <v>255</v>
      </c>
    </row>
    <row r="48" spans="1:4" x14ac:dyDescent="0.25">
      <c r="A48" s="107">
        <v>47</v>
      </c>
      <c r="B48" s="107">
        <f>Layout!CI57</f>
        <v>169</v>
      </c>
      <c r="C48">
        <v>222</v>
      </c>
      <c r="D48" s="116" t="s">
        <v>255</v>
      </c>
    </row>
    <row r="49" spans="1:4" x14ac:dyDescent="0.25">
      <c r="A49" s="107">
        <v>48</v>
      </c>
      <c r="B49" s="107">
        <f>Layout!CT57</f>
        <v>168</v>
      </c>
      <c r="C49">
        <v>223</v>
      </c>
      <c r="D49" s="116" t="s">
        <v>255</v>
      </c>
    </row>
    <row r="50" spans="1:4" x14ac:dyDescent="0.25">
      <c r="A50" s="107">
        <v>49</v>
      </c>
      <c r="B50" s="107">
        <f>Layout!DS57</f>
        <v>165</v>
      </c>
      <c r="C50">
        <v>224</v>
      </c>
      <c r="D50" s="116" t="s">
        <v>255</v>
      </c>
    </row>
    <row r="51" spans="1:4" x14ac:dyDescent="0.25">
      <c r="A51" s="107">
        <v>50</v>
      </c>
      <c r="B51" s="107">
        <f>Layout!ED57</f>
        <v>164</v>
      </c>
      <c r="C51">
        <v>226</v>
      </c>
      <c r="D51" s="116" t="s">
        <v>255</v>
      </c>
    </row>
    <row r="52" spans="1:4" x14ac:dyDescent="0.25">
      <c r="A52" s="107">
        <v>51</v>
      </c>
      <c r="B52" s="107">
        <f>Layout!EN57</f>
        <v>163</v>
      </c>
      <c r="C52">
        <v>247</v>
      </c>
      <c r="D52" s="116" t="s">
        <v>255</v>
      </c>
    </row>
    <row r="53" spans="1:4" x14ac:dyDescent="0.25">
      <c r="A53" s="107">
        <v>52</v>
      </c>
      <c r="B53" s="107">
        <f>Layout!EX57</f>
        <v>162</v>
      </c>
      <c r="C53">
        <v>248</v>
      </c>
      <c r="D53" s="116" t="s">
        <v>255</v>
      </c>
    </row>
    <row r="54" spans="1:4" x14ac:dyDescent="0.25">
      <c r="A54" s="107">
        <v>53</v>
      </c>
      <c r="B54" s="107">
        <f>Layout!FH57</f>
        <v>161</v>
      </c>
      <c r="C54">
        <v>250</v>
      </c>
      <c r="D54" s="116" t="s">
        <v>255</v>
      </c>
    </row>
    <row r="55" spans="1:4" x14ac:dyDescent="0.25">
      <c r="A55" s="107">
        <v>54</v>
      </c>
      <c r="B55" s="107">
        <f>Layout!FR57</f>
        <v>160</v>
      </c>
      <c r="C55">
        <v>252</v>
      </c>
      <c r="D55" s="116" t="s">
        <v>255</v>
      </c>
    </row>
    <row r="56" spans="1:4" x14ac:dyDescent="0.25">
      <c r="A56" s="107">
        <v>55</v>
      </c>
      <c r="B56" s="107">
        <f>Layout!GB57</f>
        <v>159</v>
      </c>
      <c r="C56">
        <v>253</v>
      </c>
      <c r="D56" s="116" t="s">
        <v>255</v>
      </c>
    </row>
    <row r="57" spans="1:4" x14ac:dyDescent="0.25">
      <c r="A57" s="107">
        <v>56</v>
      </c>
      <c r="B57" s="107">
        <f>Layout!GL57</f>
        <v>158</v>
      </c>
      <c r="C57">
        <v>254</v>
      </c>
      <c r="D57" s="116" t="s">
        <v>255</v>
      </c>
    </row>
    <row r="58" spans="1:4" x14ac:dyDescent="0.25">
      <c r="A58" s="107">
        <v>57</v>
      </c>
      <c r="B58" s="107">
        <f>Layout!HO56</f>
        <v>154</v>
      </c>
      <c r="C58">
        <v>255</v>
      </c>
      <c r="D58" s="116" t="s">
        <v>255</v>
      </c>
    </row>
    <row r="59" spans="1:4" x14ac:dyDescent="0.25">
      <c r="A59" s="107">
        <v>58</v>
      </c>
      <c r="B59" s="107">
        <f>Layout!HT56</f>
        <v>153</v>
      </c>
      <c r="C59">
        <v>256</v>
      </c>
      <c r="D59" s="116" t="s">
        <v>255</v>
      </c>
    </row>
    <row r="60" spans="1:4" x14ac:dyDescent="0.25">
      <c r="A60" s="107">
        <v>59</v>
      </c>
      <c r="B60" s="107">
        <f>Layout!IA56</f>
        <v>152</v>
      </c>
      <c r="C60">
        <v>264</v>
      </c>
      <c r="D60" s="116" t="s">
        <v>255</v>
      </c>
    </row>
    <row r="61" spans="1:4" x14ac:dyDescent="0.25">
      <c r="A61" s="107">
        <v>60</v>
      </c>
      <c r="B61" s="107">
        <f>Layout!IF56</f>
        <v>151</v>
      </c>
      <c r="C61">
        <v>263</v>
      </c>
      <c r="D61" s="116" t="s">
        <v>255</v>
      </c>
    </row>
    <row r="62" spans="1:4" x14ac:dyDescent="0.25">
      <c r="A62" s="107">
        <v>61</v>
      </c>
      <c r="B62" s="107">
        <f>Layout!IM56</f>
        <v>150</v>
      </c>
      <c r="C62">
        <v>262</v>
      </c>
      <c r="D62" s="116" t="s">
        <v>255</v>
      </c>
    </row>
    <row r="63" spans="1:4" x14ac:dyDescent="0.25">
      <c r="A63" s="107">
        <v>62</v>
      </c>
      <c r="B63" s="107">
        <f>Layout!IR56</f>
        <v>149</v>
      </c>
      <c r="C63">
        <v>261</v>
      </c>
      <c r="D63" s="116" t="s">
        <v>255</v>
      </c>
    </row>
    <row r="64" spans="1:4" x14ac:dyDescent="0.25">
      <c r="A64" s="107">
        <v>63</v>
      </c>
      <c r="B64" s="107">
        <f>Layout!IY56</f>
        <v>148</v>
      </c>
      <c r="C64">
        <v>260</v>
      </c>
      <c r="D64" s="116" t="s">
        <v>255</v>
      </c>
    </row>
    <row r="65" spans="1:5" x14ac:dyDescent="0.25">
      <c r="A65" s="107">
        <v>64</v>
      </c>
      <c r="B65" s="107">
        <f>Layout!JD56</f>
        <v>147</v>
      </c>
      <c r="C65">
        <v>259</v>
      </c>
      <c r="D65" s="116" t="s">
        <v>255</v>
      </c>
    </row>
    <row r="66" spans="1:5" x14ac:dyDescent="0.25">
      <c r="A66" s="107">
        <v>65</v>
      </c>
      <c r="B66" s="107">
        <f>Layout!JK56</f>
        <v>146</v>
      </c>
      <c r="C66">
        <v>270</v>
      </c>
      <c r="D66" s="116" t="s">
        <v>255</v>
      </c>
    </row>
    <row r="67" spans="1:5" x14ac:dyDescent="0.25">
      <c r="A67" s="107">
        <v>66</v>
      </c>
      <c r="B67" s="107">
        <f>Layout!JP56</f>
        <v>145</v>
      </c>
      <c r="C67">
        <v>269</v>
      </c>
      <c r="D67" s="116" t="s">
        <v>255</v>
      </c>
    </row>
    <row r="68" spans="1:5" x14ac:dyDescent="0.25">
      <c r="A68" s="107">
        <v>67</v>
      </c>
      <c r="B68" s="107">
        <f>Layout!JW56</f>
        <v>144</v>
      </c>
      <c r="C68">
        <v>268</v>
      </c>
      <c r="D68" s="116" t="s">
        <v>255</v>
      </c>
    </row>
    <row r="69" spans="1:5" x14ac:dyDescent="0.25">
      <c r="A69" s="107">
        <v>68</v>
      </c>
      <c r="B69" s="107">
        <f>Layout!KB56</f>
        <v>143</v>
      </c>
      <c r="C69">
        <v>267</v>
      </c>
      <c r="D69" s="116" t="s">
        <v>255</v>
      </c>
    </row>
    <row r="70" spans="1:5" x14ac:dyDescent="0.25">
      <c r="A70" s="107">
        <v>69</v>
      </c>
      <c r="B70" s="107">
        <f>Layout!KI56</f>
        <v>142</v>
      </c>
      <c r="C70">
        <v>266</v>
      </c>
      <c r="D70" s="116" t="s">
        <v>255</v>
      </c>
    </row>
    <row r="71" spans="1:5" x14ac:dyDescent="0.25">
      <c r="A71" s="107">
        <v>70</v>
      </c>
      <c r="B71" s="107">
        <f>Layout!KN56</f>
        <v>141</v>
      </c>
      <c r="C71">
        <v>265</v>
      </c>
      <c r="D71" s="116" t="s">
        <v>255</v>
      </c>
    </row>
    <row r="72" spans="1:5" x14ac:dyDescent="0.25">
      <c r="A72">
        <v>71</v>
      </c>
      <c r="B72">
        <f>Layout!DD98</f>
        <v>0</v>
      </c>
      <c r="C72" s="113">
        <v>1</v>
      </c>
      <c r="D72" s="116" t="s">
        <v>256</v>
      </c>
      <c r="E72" t="s">
        <v>260</v>
      </c>
    </row>
    <row r="73" spans="1:5" x14ac:dyDescent="0.25">
      <c r="A73">
        <v>72</v>
      </c>
      <c r="B73">
        <f>Layout!CY98</f>
        <v>227</v>
      </c>
      <c r="C73" s="113">
        <v>2</v>
      </c>
      <c r="D73" s="116" t="s">
        <v>256</v>
      </c>
      <c r="E73" t="s">
        <v>260</v>
      </c>
    </row>
    <row r="74" spans="1:5" x14ac:dyDescent="0.25">
      <c r="A74">
        <v>73</v>
      </c>
      <c r="B74">
        <f>Layout!CR98</f>
        <v>226</v>
      </c>
      <c r="C74" s="113">
        <v>3</v>
      </c>
      <c r="D74" s="116" t="s">
        <v>256</v>
      </c>
      <c r="E74" t="s">
        <v>260</v>
      </c>
    </row>
    <row r="75" spans="1:5" x14ac:dyDescent="0.25">
      <c r="A75">
        <v>74</v>
      </c>
      <c r="B75">
        <f>Layout!CM98</f>
        <v>225</v>
      </c>
      <c r="C75" s="113">
        <v>4</v>
      </c>
      <c r="D75" s="116" t="s">
        <v>256</v>
      </c>
      <c r="E75" t="s">
        <v>260</v>
      </c>
    </row>
    <row r="76" spans="1:5" x14ac:dyDescent="0.25">
      <c r="A76">
        <v>75</v>
      </c>
      <c r="B76">
        <f>Layout!CF98</f>
        <v>224</v>
      </c>
      <c r="C76" s="113">
        <v>5</v>
      </c>
      <c r="D76" s="116" t="s">
        <v>256</v>
      </c>
      <c r="E76" t="s">
        <v>260</v>
      </c>
    </row>
    <row r="77" spans="1:5" x14ac:dyDescent="0.25">
      <c r="A77">
        <v>76</v>
      </c>
      <c r="B77">
        <f>Layout!CA98</f>
        <v>223</v>
      </c>
      <c r="C77" s="113">
        <v>6</v>
      </c>
      <c r="D77" s="116" t="s">
        <v>256</v>
      </c>
      <c r="E77" t="s">
        <v>260</v>
      </c>
    </row>
    <row r="78" spans="1:5" x14ac:dyDescent="0.25">
      <c r="A78">
        <v>77</v>
      </c>
      <c r="B78">
        <f>Layout!BT98</f>
        <v>222</v>
      </c>
      <c r="C78" s="113">
        <v>7</v>
      </c>
      <c r="D78" s="116" t="s">
        <v>256</v>
      </c>
      <c r="E78" t="s">
        <v>260</v>
      </c>
    </row>
    <row r="79" spans="1:5" x14ac:dyDescent="0.25">
      <c r="A79">
        <v>78</v>
      </c>
      <c r="B79">
        <f>Layout!BO98</f>
        <v>221</v>
      </c>
      <c r="C79" s="113">
        <v>8</v>
      </c>
      <c r="D79" s="116" t="s">
        <v>256</v>
      </c>
      <c r="E79" t="s">
        <v>260</v>
      </c>
    </row>
    <row r="80" spans="1:5" x14ac:dyDescent="0.25">
      <c r="A80">
        <v>79</v>
      </c>
      <c r="B80">
        <f>Layout!BH98</f>
        <v>220</v>
      </c>
      <c r="C80" s="113">
        <v>9</v>
      </c>
      <c r="D80" s="116" t="s">
        <v>256</v>
      </c>
      <c r="E80" t="s">
        <v>260</v>
      </c>
    </row>
    <row r="81" spans="1:5" x14ac:dyDescent="0.25">
      <c r="A81">
        <v>80</v>
      </c>
      <c r="B81">
        <f>Layout!BC98</f>
        <v>219</v>
      </c>
      <c r="C81" s="113">
        <v>10</v>
      </c>
      <c r="D81" s="116" t="s">
        <v>256</v>
      </c>
      <c r="E81" t="s">
        <v>260</v>
      </c>
    </row>
    <row r="82" spans="1:5" x14ac:dyDescent="0.25">
      <c r="A82">
        <v>81</v>
      </c>
      <c r="C82" s="113">
        <v>11</v>
      </c>
      <c r="D82" s="116" t="s">
        <v>256</v>
      </c>
      <c r="E82" t="s">
        <v>260</v>
      </c>
    </row>
    <row r="83" spans="1:5" x14ac:dyDescent="0.25">
      <c r="A83">
        <v>82</v>
      </c>
      <c r="B83">
        <f>Layout!GO98</f>
        <v>236</v>
      </c>
      <c r="C83" s="113">
        <v>12</v>
      </c>
      <c r="D83" s="116" t="s">
        <v>256</v>
      </c>
      <c r="E83" t="s">
        <v>260</v>
      </c>
    </row>
    <row r="84" spans="1:5" x14ac:dyDescent="0.25">
      <c r="A84">
        <v>83</v>
      </c>
      <c r="B84">
        <f>Layout!GV98</f>
        <v>240</v>
      </c>
      <c r="C84" s="113">
        <v>13</v>
      </c>
      <c r="D84" s="116" t="s">
        <v>256</v>
      </c>
      <c r="E84" t="s">
        <v>260</v>
      </c>
    </row>
    <row r="85" spans="1:5" x14ac:dyDescent="0.25">
      <c r="A85">
        <v>84</v>
      </c>
      <c r="B85">
        <f>Layout!HA98</f>
        <v>241</v>
      </c>
      <c r="C85" s="113">
        <v>14</v>
      </c>
      <c r="D85" s="116" t="s">
        <v>256</v>
      </c>
      <c r="E85" t="s">
        <v>260</v>
      </c>
    </row>
    <row r="86" spans="1:5" x14ac:dyDescent="0.25">
      <c r="A86">
        <v>85</v>
      </c>
      <c r="B86">
        <f>Layout!AB146</f>
        <v>201</v>
      </c>
      <c r="C86">
        <v>235</v>
      </c>
      <c r="D86" s="116" t="s">
        <v>256</v>
      </c>
    </row>
    <row r="87" spans="1:5" x14ac:dyDescent="0.25">
      <c r="A87">
        <v>86</v>
      </c>
      <c r="B87">
        <f>Layout!AM146</f>
        <v>202</v>
      </c>
      <c r="C87">
        <v>236</v>
      </c>
      <c r="D87" s="116" t="s">
        <v>256</v>
      </c>
    </row>
    <row r="88" spans="1:5" x14ac:dyDescent="0.25">
      <c r="A88">
        <v>87</v>
      </c>
      <c r="B88">
        <f>Layout!AX146</f>
        <v>203</v>
      </c>
      <c r="C88">
        <v>237</v>
      </c>
      <c r="D88" s="116" t="s">
        <v>256</v>
      </c>
    </row>
    <row r="89" spans="1:5" x14ac:dyDescent="0.25">
      <c r="A89">
        <v>88</v>
      </c>
      <c r="B89">
        <f>Layout!BI146</f>
        <v>204</v>
      </c>
      <c r="C89">
        <v>238</v>
      </c>
      <c r="D89" s="116" t="s">
        <v>256</v>
      </c>
    </row>
    <row r="90" spans="1:5" x14ac:dyDescent="0.25">
      <c r="A90">
        <v>89</v>
      </c>
      <c r="B90">
        <f>Layout!BT146</f>
        <v>205</v>
      </c>
      <c r="C90">
        <v>239</v>
      </c>
      <c r="D90" s="116" t="s">
        <v>256</v>
      </c>
    </row>
    <row r="91" spans="1:5" x14ac:dyDescent="0.25">
      <c r="A91">
        <v>90</v>
      </c>
      <c r="B91">
        <f>Layout!FH146</f>
        <v>212</v>
      </c>
      <c r="C91">
        <v>240</v>
      </c>
      <c r="D91" s="116" t="s">
        <v>256</v>
      </c>
    </row>
    <row r="92" spans="1:5" x14ac:dyDescent="0.25">
      <c r="A92">
        <v>91</v>
      </c>
      <c r="B92">
        <f>Layout!CP146</f>
        <v>207</v>
      </c>
      <c r="C92">
        <v>232</v>
      </c>
      <c r="D92" s="116" t="s">
        <v>256</v>
      </c>
    </row>
    <row r="93" spans="1:5" x14ac:dyDescent="0.25">
      <c r="A93">
        <v>92</v>
      </c>
      <c r="B93">
        <f>Layout!DT146</f>
        <v>208</v>
      </c>
      <c r="C93">
        <v>234</v>
      </c>
      <c r="D93" s="116" t="s">
        <v>256</v>
      </c>
    </row>
    <row r="94" spans="1:5" x14ac:dyDescent="0.25">
      <c r="A94">
        <v>93</v>
      </c>
      <c r="B94">
        <f>Layout!ED146</f>
        <v>209</v>
      </c>
      <c r="C94">
        <v>229</v>
      </c>
      <c r="D94" s="116" t="s">
        <v>256</v>
      </c>
    </row>
    <row r="95" spans="1:5" x14ac:dyDescent="0.25">
      <c r="A95">
        <v>94</v>
      </c>
      <c r="B95">
        <f>Layout!EN146</f>
        <v>210</v>
      </c>
      <c r="C95">
        <v>230</v>
      </c>
      <c r="D95" s="116" t="s">
        <v>256</v>
      </c>
    </row>
    <row r="96" spans="1:5" x14ac:dyDescent="0.25">
      <c r="A96">
        <v>95</v>
      </c>
      <c r="B96">
        <f>Layout!EX146</f>
        <v>211</v>
      </c>
      <c r="C96">
        <v>231</v>
      </c>
      <c r="D96" s="116" t="s">
        <v>256</v>
      </c>
    </row>
    <row r="97" spans="1:5" x14ac:dyDescent="0.25">
      <c r="A97">
        <v>96</v>
      </c>
      <c r="B97">
        <f>Layout!CE146</f>
        <v>206</v>
      </c>
      <c r="C97">
        <v>233</v>
      </c>
      <c r="D97" s="116" t="s">
        <v>256</v>
      </c>
    </row>
    <row r="98" spans="1:5" x14ac:dyDescent="0.25">
      <c r="A98">
        <v>97</v>
      </c>
      <c r="B98">
        <f>Layout!FO146</f>
        <v>214</v>
      </c>
      <c r="C98" s="109">
        <v>1</v>
      </c>
      <c r="D98" s="116" t="s">
        <v>256</v>
      </c>
      <c r="E98" t="s">
        <v>261</v>
      </c>
    </row>
    <row r="99" spans="1:5" x14ac:dyDescent="0.25">
      <c r="A99">
        <v>98</v>
      </c>
      <c r="B99">
        <f>Layout!FT146</f>
        <v>215</v>
      </c>
      <c r="C99" s="109">
        <v>2</v>
      </c>
      <c r="D99" s="116" t="s">
        <v>256</v>
      </c>
      <c r="E99" t="s">
        <v>261</v>
      </c>
    </row>
    <row r="100" spans="1:5" x14ac:dyDescent="0.25">
      <c r="A100">
        <v>99</v>
      </c>
      <c r="B100">
        <f>Layout!GA146</f>
        <v>216</v>
      </c>
      <c r="C100" s="109">
        <v>3</v>
      </c>
      <c r="D100" s="116" t="s">
        <v>256</v>
      </c>
      <c r="E100" t="s">
        <v>261</v>
      </c>
    </row>
    <row r="101" spans="1:5" x14ac:dyDescent="0.25">
      <c r="A101">
        <v>100</v>
      </c>
      <c r="B101">
        <f>Layout!GF146</f>
        <v>217</v>
      </c>
      <c r="C101" s="109">
        <v>4</v>
      </c>
      <c r="D101" s="116" t="s">
        <v>256</v>
      </c>
      <c r="E101" t="s">
        <v>261</v>
      </c>
    </row>
    <row r="102" spans="1:5" x14ac:dyDescent="0.25">
      <c r="A102">
        <v>111</v>
      </c>
      <c r="B102">
        <f>Layout!GM146</f>
        <v>218</v>
      </c>
      <c r="C102" s="109">
        <v>5</v>
      </c>
      <c r="D102" s="116" t="s">
        <v>256</v>
      </c>
      <c r="E102" t="s">
        <v>261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1"/>
  <sheetViews>
    <sheetView topLeftCell="A61" zoomScale="152" workbookViewId="0">
      <selection activeCell="E76" sqref="E76"/>
    </sheetView>
  </sheetViews>
  <sheetFormatPr defaultRowHeight="15" x14ac:dyDescent="0.25"/>
  <sheetData>
    <row r="1" spans="1:2" x14ac:dyDescent="0.25">
      <c r="A1" s="89" t="s">
        <v>44</v>
      </c>
      <c r="B1" s="89" t="s">
        <v>45</v>
      </c>
    </row>
    <row r="2" spans="1:2" x14ac:dyDescent="0.25">
      <c r="A2" s="89">
        <v>192</v>
      </c>
      <c r="B2" s="89">
        <v>115</v>
      </c>
    </row>
    <row r="3" spans="1:2" x14ac:dyDescent="0.25">
      <c r="A3" s="89">
        <v>195</v>
      </c>
      <c r="B3" s="89">
        <v>117</v>
      </c>
    </row>
    <row r="4" spans="1:2" x14ac:dyDescent="0.25">
      <c r="A4" s="89">
        <v>198</v>
      </c>
      <c r="B4" s="89">
        <v>105</v>
      </c>
    </row>
    <row r="5" spans="1:2" x14ac:dyDescent="0.25">
      <c r="A5" s="89">
        <v>387</v>
      </c>
      <c r="B5" s="89">
        <v>139</v>
      </c>
    </row>
    <row r="6" spans="1:2" x14ac:dyDescent="0.25">
      <c r="A6" s="89">
        <v>219</v>
      </c>
      <c r="B6" s="89">
        <v>121</v>
      </c>
    </row>
    <row r="7" spans="1:2" x14ac:dyDescent="0.25">
      <c r="A7" s="89">
        <v>225</v>
      </c>
      <c r="B7" s="89">
        <v>129</v>
      </c>
    </row>
    <row r="8" spans="1:2" x14ac:dyDescent="0.25">
      <c r="A8" s="89">
        <v>240</v>
      </c>
      <c r="B8" s="89">
        <v>111</v>
      </c>
    </row>
    <row r="9" spans="1:2" x14ac:dyDescent="0.25">
      <c r="A9" s="89">
        <v>427</v>
      </c>
      <c r="B9" s="89">
        <v>153</v>
      </c>
    </row>
    <row r="10" spans="1:2" x14ac:dyDescent="0.25">
      <c r="A10" s="89">
        <v>246</v>
      </c>
      <c r="B10" s="89">
        <v>128</v>
      </c>
    </row>
    <row r="11" spans="1:2" x14ac:dyDescent="0.25">
      <c r="A11" s="89">
        <v>429</v>
      </c>
      <c r="B11" s="89">
        <v>150</v>
      </c>
    </row>
    <row r="12" spans="1:2" x14ac:dyDescent="0.25">
      <c r="A12" s="89">
        <v>264</v>
      </c>
      <c r="B12" s="89">
        <v>171</v>
      </c>
    </row>
    <row r="13" spans="1:2" x14ac:dyDescent="0.25">
      <c r="A13" s="89">
        <v>265</v>
      </c>
      <c r="B13" s="89">
        <v>123</v>
      </c>
    </row>
    <row r="14" spans="1:2" x14ac:dyDescent="0.25">
      <c r="A14" s="89">
        <v>273</v>
      </c>
      <c r="B14" s="89">
        <v>101</v>
      </c>
    </row>
    <row r="15" spans="1:2" x14ac:dyDescent="0.25">
      <c r="A15" s="89">
        <v>309</v>
      </c>
      <c r="B15" s="89" t="s">
        <v>26</v>
      </c>
    </row>
    <row r="16" spans="1:2" x14ac:dyDescent="0.25">
      <c r="A16" s="89">
        <v>310</v>
      </c>
      <c r="B16" s="89" t="s">
        <v>27</v>
      </c>
    </row>
    <row r="17" spans="1:2" x14ac:dyDescent="0.25">
      <c r="A17" s="89">
        <v>311</v>
      </c>
      <c r="B17" s="89" t="s">
        <v>28</v>
      </c>
    </row>
    <row r="18" spans="1:2" x14ac:dyDescent="0.25">
      <c r="A18" s="89">
        <v>312</v>
      </c>
      <c r="B18" s="89" t="s">
        <v>29</v>
      </c>
    </row>
    <row r="19" spans="1:2" x14ac:dyDescent="0.25">
      <c r="A19" s="89">
        <v>321</v>
      </c>
      <c r="B19" s="89" t="s">
        <v>30</v>
      </c>
    </row>
    <row r="20" spans="1:2" x14ac:dyDescent="0.25">
      <c r="A20" s="89">
        <v>322</v>
      </c>
      <c r="B20" s="89" t="s">
        <v>31</v>
      </c>
    </row>
    <row r="21" spans="1:2" x14ac:dyDescent="0.25">
      <c r="A21" s="89">
        <v>323</v>
      </c>
      <c r="B21" s="89" t="s">
        <v>32</v>
      </c>
    </row>
    <row r="22" spans="1:2" x14ac:dyDescent="0.25">
      <c r="A22" s="89">
        <v>324</v>
      </c>
      <c r="B22" s="89" t="s">
        <v>33</v>
      </c>
    </row>
    <row r="23" spans="1:2" x14ac:dyDescent="0.25">
      <c r="A23" s="89">
        <v>325</v>
      </c>
      <c r="B23" s="89" t="s">
        <v>34</v>
      </c>
    </row>
    <row r="24" spans="1:2" x14ac:dyDescent="0.25">
      <c r="A24" s="89">
        <v>326</v>
      </c>
      <c r="B24" s="89" t="s">
        <v>35</v>
      </c>
    </row>
    <row r="25" spans="1:2" x14ac:dyDescent="0.25">
      <c r="A25" s="89">
        <v>336</v>
      </c>
      <c r="B25" s="89">
        <v>134</v>
      </c>
    </row>
    <row r="26" spans="1:2" x14ac:dyDescent="0.25">
      <c r="A26" s="89">
        <v>351</v>
      </c>
      <c r="B26" s="89">
        <v>169</v>
      </c>
    </row>
    <row r="27" spans="1:2" x14ac:dyDescent="0.25">
      <c r="A27" s="89">
        <v>352</v>
      </c>
      <c r="B27" s="89">
        <v>125</v>
      </c>
    </row>
    <row r="28" spans="1:2" x14ac:dyDescent="0.25">
      <c r="A28" s="89">
        <v>353</v>
      </c>
      <c r="B28" s="89">
        <v>165</v>
      </c>
    </row>
    <row r="29" spans="1:2" x14ac:dyDescent="0.25">
      <c r="A29" s="89">
        <v>354</v>
      </c>
      <c r="B29" s="89">
        <v>164</v>
      </c>
    </row>
    <row r="30" spans="1:2" x14ac:dyDescent="0.25">
      <c r="A30" s="89">
        <v>355</v>
      </c>
      <c r="B30" s="89">
        <v>127</v>
      </c>
    </row>
    <row r="31" spans="1:2" x14ac:dyDescent="0.25">
      <c r="A31" s="89">
        <v>241</v>
      </c>
      <c r="B31" s="89">
        <v>154</v>
      </c>
    </row>
    <row r="32" spans="1:2" x14ac:dyDescent="0.25">
      <c r="A32" s="89">
        <v>357</v>
      </c>
      <c r="B32" s="89">
        <v>124</v>
      </c>
    </row>
    <row r="33" spans="1:2" x14ac:dyDescent="0.25">
      <c r="A33" s="89">
        <v>358</v>
      </c>
      <c r="B33" s="89">
        <v>114</v>
      </c>
    </row>
    <row r="34" spans="1:2" x14ac:dyDescent="0.25">
      <c r="A34" s="89">
        <v>359</v>
      </c>
      <c r="B34" s="89">
        <v>126</v>
      </c>
    </row>
    <row r="35" spans="1:2" x14ac:dyDescent="0.25">
      <c r="A35" s="89">
        <v>360</v>
      </c>
      <c r="B35" s="89">
        <v>104</v>
      </c>
    </row>
    <row r="36" spans="1:2" x14ac:dyDescent="0.25">
      <c r="A36" s="89">
        <v>361</v>
      </c>
      <c r="B36" s="89">
        <v>142</v>
      </c>
    </row>
    <row r="37" spans="1:2" x14ac:dyDescent="0.25">
      <c r="A37" s="89">
        <v>362</v>
      </c>
      <c r="B37" s="89">
        <v>163</v>
      </c>
    </row>
    <row r="38" spans="1:2" x14ac:dyDescent="0.25">
      <c r="A38" s="89">
        <v>363</v>
      </c>
      <c r="B38" s="89">
        <v>106</v>
      </c>
    </row>
    <row r="39" spans="1:2" x14ac:dyDescent="0.25">
      <c r="A39" s="89">
        <v>364</v>
      </c>
      <c r="B39" s="89">
        <v>103</v>
      </c>
    </row>
    <row r="40" spans="1:2" x14ac:dyDescent="0.25">
      <c r="A40" s="89">
        <v>365</v>
      </c>
      <c r="B40" s="89">
        <v>162</v>
      </c>
    </row>
    <row r="41" spans="1:2" x14ac:dyDescent="0.25">
      <c r="A41" s="89">
        <v>366</v>
      </c>
      <c r="B41" s="89">
        <v>161</v>
      </c>
    </row>
    <row r="42" spans="1:2" x14ac:dyDescent="0.25">
      <c r="A42" s="89">
        <v>367</v>
      </c>
      <c r="B42" s="89">
        <v>110</v>
      </c>
    </row>
    <row r="43" spans="1:2" x14ac:dyDescent="0.25">
      <c r="A43" s="89">
        <v>368</v>
      </c>
      <c r="B43" s="89">
        <v>160</v>
      </c>
    </row>
    <row r="44" spans="1:2" x14ac:dyDescent="0.25">
      <c r="A44" s="89">
        <v>370</v>
      </c>
      <c r="B44" s="89">
        <v>118</v>
      </c>
    </row>
    <row r="45" spans="1:2" x14ac:dyDescent="0.25">
      <c r="A45" s="89">
        <v>371</v>
      </c>
      <c r="B45" s="89">
        <v>102</v>
      </c>
    </row>
    <row r="46" spans="1:2" x14ac:dyDescent="0.25">
      <c r="A46" s="89">
        <v>372</v>
      </c>
      <c r="B46" s="89">
        <v>173</v>
      </c>
    </row>
    <row r="47" spans="1:2" x14ac:dyDescent="0.25">
      <c r="A47" s="89">
        <v>373</v>
      </c>
      <c r="B47" s="89">
        <v>172</v>
      </c>
    </row>
    <row r="48" spans="1:2" x14ac:dyDescent="0.25">
      <c r="A48" s="89">
        <v>374</v>
      </c>
      <c r="B48" s="89">
        <v>174</v>
      </c>
    </row>
    <row r="49" spans="1:3" x14ac:dyDescent="0.25">
      <c r="A49" s="89">
        <v>251</v>
      </c>
      <c r="B49" s="89">
        <v>151</v>
      </c>
    </row>
    <row r="50" spans="1:3" x14ac:dyDescent="0.25">
      <c r="A50" s="89">
        <v>386</v>
      </c>
      <c r="B50" s="89">
        <v>107</v>
      </c>
    </row>
    <row r="51" spans="1:3" x14ac:dyDescent="0.25">
      <c r="A51" s="89">
        <v>336</v>
      </c>
      <c r="B51" s="89">
        <v>132</v>
      </c>
    </row>
    <row r="52" spans="1:3" x14ac:dyDescent="0.25">
      <c r="A52" s="89">
        <v>388</v>
      </c>
      <c r="B52" s="89">
        <v>109</v>
      </c>
    </row>
    <row r="53" spans="1:3" x14ac:dyDescent="0.25">
      <c r="A53" s="89">
        <v>389</v>
      </c>
      <c r="B53" s="89">
        <v>131</v>
      </c>
    </row>
    <row r="54" spans="1:3" x14ac:dyDescent="0.25">
      <c r="A54" s="89">
        <v>395</v>
      </c>
      <c r="B54" s="89">
        <v>119</v>
      </c>
    </row>
    <row r="55" spans="1:3" x14ac:dyDescent="0.25">
      <c r="A55" s="89">
        <v>398</v>
      </c>
      <c r="B55" s="89">
        <v>116</v>
      </c>
    </row>
    <row r="56" spans="1:3" x14ac:dyDescent="0.25">
      <c r="A56" s="89">
        <v>399</v>
      </c>
      <c r="B56" s="89">
        <v>122</v>
      </c>
    </row>
    <row r="57" spans="1:3" x14ac:dyDescent="0.25">
      <c r="A57" s="89">
        <v>442</v>
      </c>
      <c r="B57" s="89">
        <v>137</v>
      </c>
      <c r="C57" s="107"/>
    </row>
    <row r="58" spans="1:3" x14ac:dyDescent="0.25">
      <c r="A58" s="89">
        <v>408</v>
      </c>
      <c r="B58" s="89">
        <v>145</v>
      </c>
    </row>
    <row r="59" spans="1:3" x14ac:dyDescent="0.25">
      <c r="A59" s="89">
        <v>415</v>
      </c>
      <c r="B59" s="89">
        <v>112</v>
      </c>
    </row>
    <row r="60" spans="1:3" x14ac:dyDescent="0.25">
      <c r="A60" s="89">
        <v>419</v>
      </c>
      <c r="B60" s="89">
        <v>144</v>
      </c>
    </row>
    <row r="61" spans="1:3" x14ac:dyDescent="0.25">
      <c r="A61" s="89">
        <v>423</v>
      </c>
      <c r="B61" s="89" t="s">
        <v>36</v>
      </c>
    </row>
    <row r="62" spans="1:3" x14ac:dyDescent="0.25">
      <c r="A62" s="89">
        <v>426</v>
      </c>
      <c r="B62" s="89" t="s">
        <v>37</v>
      </c>
    </row>
    <row r="63" spans="1:3" x14ac:dyDescent="0.25">
      <c r="A63" s="89">
        <v>384</v>
      </c>
      <c r="B63" s="89">
        <v>152</v>
      </c>
    </row>
    <row r="64" spans="1:3" x14ac:dyDescent="0.25">
      <c r="A64" s="89">
        <v>428</v>
      </c>
      <c r="B64" s="89">
        <v>136</v>
      </c>
    </row>
    <row r="65" spans="1:2" x14ac:dyDescent="0.25">
      <c r="A65" s="89">
        <v>249</v>
      </c>
      <c r="B65" s="89">
        <v>149</v>
      </c>
    </row>
    <row r="66" spans="1:2" x14ac:dyDescent="0.25">
      <c r="A66" s="89">
        <v>430</v>
      </c>
      <c r="B66" s="89">
        <v>143</v>
      </c>
    </row>
    <row r="67" spans="1:2" x14ac:dyDescent="0.25">
      <c r="A67" s="89">
        <v>439</v>
      </c>
      <c r="B67" s="89" t="s">
        <v>38</v>
      </c>
    </row>
    <row r="68" spans="1:2" x14ac:dyDescent="0.25">
      <c r="A68" s="89">
        <v>405</v>
      </c>
      <c r="B68" s="89">
        <v>133</v>
      </c>
    </row>
    <row r="69" spans="1:2" x14ac:dyDescent="0.25">
      <c r="A69" s="89">
        <v>443</v>
      </c>
      <c r="B69" s="89">
        <v>135</v>
      </c>
    </row>
    <row r="70" spans="1:2" x14ac:dyDescent="0.25">
      <c r="A70" s="89">
        <v>446</v>
      </c>
      <c r="B70" s="89">
        <v>138</v>
      </c>
    </row>
    <row r="71" spans="1:2" x14ac:dyDescent="0.25">
      <c r="A71" s="89">
        <v>447</v>
      </c>
      <c r="B71" s="89">
        <v>130</v>
      </c>
    </row>
    <row r="72" spans="1:2" x14ac:dyDescent="0.25">
      <c r="A72" s="89">
        <v>453</v>
      </c>
      <c r="B72" s="89">
        <v>168</v>
      </c>
    </row>
    <row r="73" spans="1:2" x14ac:dyDescent="0.25">
      <c r="A73" s="89">
        <v>356</v>
      </c>
      <c r="B73" s="89">
        <v>147</v>
      </c>
    </row>
    <row r="74" spans="1:2" x14ac:dyDescent="0.25">
      <c r="A74" s="89">
        <v>457</v>
      </c>
      <c r="B74" s="89">
        <v>146</v>
      </c>
    </row>
    <row r="75" spans="1:2" x14ac:dyDescent="0.25">
      <c r="A75" s="89">
        <v>460</v>
      </c>
      <c r="B75" s="89">
        <v>159</v>
      </c>
    </row>
    <row r="76" spans="1:2" x14ac:dyDescent="0.25">
      <c r="A76" s="89">
        <v>472</v>
      </c>
      <c r="B76" s="89">
        <v>108</v>
      </c>
    </row>
    <row r="77" spans="1:2" x14ac:dyDescent="0.25">
      <c r="A77" s="89">
        <v>434</v>
      </c>
      <c r="B77" s="89">
        <v>170</v>
      </c>
    </row>
    <row r="78" spans="1:2" x14ac:dyDescent="0.25">
      <c r="A78" s="83">
        <v>468</v>
      </c>
      <c r="B78" s="83">
        <v>207</v>
      </c>
    </row>
    <row r="79" spans="1:2" x14ac:dyDescent="0.25">
      <c r="A79" s="83">
        <v>294</v>
      </c>
      <c r="B79" s="83">
        <v>204</v>
      </c>
    </row>
    <row r="80" spans="1:2" x14ac:dyDescent="0.25">
      <c r="A80" s="83">
        <v>375</v>
      </c>
      <c r="B80" s="83">
        <v>203</v>
      </c>
    </row>
    <row r="81" spans="1:2" x14ac:dyDescent="0.25">
      <c r="A81" s="83">
        <v>376</v>
      </c>
      <c r="B81" s="83">
        <v>202</v>
      </c>
    </row>
    <row r="82" spans="1:2" x14ac:dyDescent="0.25">
      <c r="A82" s="83">
        <v>378</v>
      </c>
      <c r="B82" s="83">
        <v>201</v>
      </c>
    </row>
    <row r="83" spans="1:2" x14ac:dyDescent="0.25">
      <c r="A83" s="83">
        <v>379</v>
      </c>
      <c r="B83" s="83">
        <v>205</v>
      </c>
    </row>
    <row r="84" spans="1:2" x14ac:dyDescent="0.25">
      <c r="A84" s="83">
        <v>448</v>
      </c>
      <c r="B84" s="83">
        <v>209</v>
      </c>
    </row>
    <row r="85" spans="1:2" x14ac:dyDescent="0.25">
      <c r="A85" s="83">
        <v>381</v>
      </c>
      <c r="B85" s="83">
        <v>210</v>
      </c>
    </row>
    <row r="86" spans="1:2" x14ac:dyDescent="0.25">
      <c r="A86" s="83">
        <v>382</v>
      </c>
      <c r="B86" s="83">
        <v>211</v>
      </c>
    </row>
    <row r="87" spans="1:2" x14ac:dyDescent="0.25">
      <c r="A87" s="83">
        <v>207</v>
      </c>
      <c r="B87" s="83">
        <v>206</v>
      </c>
    </row>
    <row r="88" spans="1:2" x14ac:dyDescent="0.25">
      <c r="A88" s="83">
        <v>383</v>
      </c>
      <c r="B88" s="83">
        <v>208</v>
      </c>
    </row>
    <row r="89" spans="1:2" x14ac:dyDescent="0.25">
      <c r="A89" s="83">
        <v>438</v>
      </c>
      <c r="B89" s="83">
        <v>212</v>
      </c>
    </row>
    <row r="90" spans="1:2" x14ac:dyDescent="0.25">
      <c r="A90" s="83">
        <v>458</v>
      </c>
      <c r="B90" s="83">
        <v>214</v>
      </c>
    </row>
    <row r="91" spans="1:2" x14ac:dyDescent="0.25">
      <c r="A91" s="83">
        <v>456</v>
      </c>
      <c r="B91" s="83">
        <v>215</v>
      </c>
    </row>
    <row r="92" spans="1:2" x14ac:dyDescent="0.25">
      <c r="A92" s="83">
        <v>480</v>
      </c>
      <c r="B92" s="83">
        <v>216</v>
      </c>
    </row>
    <row r="93" spans="1:2" x14ac:dyDescent="0.25">
      <c r="A93" s="83">
        <v>467</v>
      </c>
      <c r="B93" s="83">
        <v>217</v>
      </c>
    </row>
    <row r="94" spans="1:2" x14ac:dyDescent="0.25">
      <c r="A94" s="83">
        <v>421</v>
      </c>
      <c r="B94" s="83">
        <v>218</v>
      </c>
    </row>
    <row r="95" spans="1:2" x14ac:dyDescent="0.25">
      <c r="A95" s="83">
        <v>451</v>
      </c>
      <c r="B95" s="83" t="s">
        <v>39</v>
      </c>
    </row>
    <row r="96" spans="1:2" x14ac:dyDescent="0.25">
      <c r="A96" s="83">
        <v>452</v>
      </c>
      <c r="B96" s="83" t="s">
        <v>40</v>
      </c>
    </row>
    <row r="97" spans="1:2" x14ac:dyDescent="0.25">
      <c r="A97" s="83">
        <v>461</v>
      </c>
      <c r="B97" s="83">
        <v>219</v>
      </c>
    </row>
    <row r="98" spans="1:2" x14ac:dyDescent="0.25">
      <c r="A98" s="83">
        <v>478</v>
      </c>
      <c r="B98" s="83">
        <v>220</v>
      </c>
    </row>
    <row r="99" spans="1:2" x14ac:dyDescent="0.25">
      <c r="A99" s="83">
        <v>473</v>
      </c>
      <c r="B99" s="83">
        <v>221</v>
      </c>
    </row>
    <row r="100" spans="1:2" x14ac:dyDescent="0.25">
      <c r="A100" s="83">
        <v>445</v>
      </c>
      <c r="B100" s="83">
        <v>222</v>
      </c>
    </row>
    <row r="101" spans="1:2" x14ac:dyDescent="0.25">
      <c r="A101" s="83">
        <v>420</v>
      </c>
      <c r="B101" s="83">
        <v>223</v>
      </c>
    </row>
    <row r="102" spans="1:2" x14ac:dyDescent="0.25">
      <c r="A102" s="83">
        <v>450</v>
      </c>
      <c r="B102" s="83">
        <v>224</v>
      </c>
    </row>
    <row r="103" spans="1:2" x14ac:dyDescent="0.25">
      <c r="A103" s="83">
        <v>464</v>
      </c>
      <c r="B103" s="83">
        <v>225</v>
      </c>
    </row>
    <row r="104" spans="1:2" x14ac:dyDescent="0.25">
      <c r="A104" s="83">
        <v>477</v>
      </c>
      <c r="B104" s="83">
        <v>226</v>
      </c>
    </row>
    <row r="105" spans="1:2" x14ac:dyDescent="0.25">
      <c r="A105" s="83">
        <v>449</v>
      </c>
      <c r="B105" s="83">
        <v>227</v>
      </c>
    </row>
    <row r="106" spans="1:2" x14ac:dyDescent="0.25">
      <c r="A106" s="83">
        <v>465</v>
      </c>
      <c r="B106" s="83">
        <v>228</v>
      </c>
    </row>
    <row r="107" spans="1:2" x14ac:dyDescent="0.25">
      <c r="A107" s="83">
        <v>444</v>
      </c>
      <c r="B107" s="83">
        <v>230</v>
      </c>
    </row>
    <row r="108" spans="1:2" x14ac:dyDescent="0.25">
      <c r="A108" s="83">
        <v>476</v>
      </c>
      <c r="B108" s="83">
        <v>231</v>
      </c>
    </row>
    <row r="109" spans="1:2" x14ac:dyDescent="0.25">
      <c r="A109" s="83">
        <v>474</v>
      </c>
      <c r="B109" s="83">
        <v>229</v>
      </c>
    </row>
    <row r="110" spans="1:2" x14ac:dyDescent="0.25">
      <c r="A110" s="83">
        <v>470</v>
      </c>
      <c r="B110" s="83" t="s">
        <v>41</v>
      </c>
    </row>
    <row r="111" spans="1:2" x14ac:dyDescent="0.25">
      <c r="A111" s="83">
        <v>471</v>
      </c>
      <c r="B111" s="83" t="s">
        <v>42</v>
      </c>
    </row>
    <row r="112" spans="1:2" x14ac:dyDescent="0.25">
      <c r="A112" s="83">
        <v>475</v>
      </c>
      <c r="B112" s="83">
        <v>232</v>
      </c>
    </row>
    <row r="113" spans="1:2" x14ac:dyDescent="0.25">
      <c r="A113" s="83">
        <v>466</v>
      </c>
      <c r="B113" s="83">
        <v>233</v>
      </c>
    </row>
    <row r="114" spans="1:2" x14ac:dyDescent="0.25">
      <c r="A114" s="83">
        <v>459</v>
      </c>
      <c r="B114" s="83">
        <v>234</v>
      </c>
    </row>
    <row r="115" spans="1:2" x14ac:dyDescent="0.25">
      <c r="A115" s="83">
        <v>483</v>
      </c>
      <c r="B115" s="83">
        <v>235</v>
      </c>
    </row>
    <row r="116" spans="1:2" x14ac:dyDescent="0.25">
      <c r="A116" s="83">
        <v>481</v>
      </c>
      <c r="B116" s="83">
        <v>236</v>
      </c>
    </row>
    <row r="117" spans="1:2" x14ac:dyDescent="0.25">
      <c r="A117" s="83">
        <v>454</v>
      </c>
      <c r="B117" s="83">
        <v>237</v>
      </c>
    </row>
    <row r="118" spans="1:2" x14ac:dyDescent="0.25">
      <c r="A118" s="83">
        <v>479</v>
      </c>
      <c r="B118" s="83">
        <v>238</v>
      </c>
    </row>
    <row r="119" spans="1:2" x14ac:dyDescent="0.25">
      <c r="A119" s="83">
        <v>463</v>
      </c>
      <c r="B119" s="83">
        <v>239</v>
      </c>
    </row>
    <row r="120" spans="1:2" x14ac:dyDescent="0.25">
      <c r="A120" s="83">
        <v>469</v>
      </c>
      <c r="B120" s="83">
        <v>240</v>
      </c>
    </row>
    <row r="121" spans="1:2" x14ac:dyDescent="0.25">
      <c r="A121" s="83">
        <v>462</v>
      </c>
      <c r="B121" s="83">
        <v>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214"/>
  <sheetViews>
    <sheetView topLeftCell="A43" zoomScale="174" workbookViewId="0">
      <selection activeCell="B53" sqref="B53"/>
    </sheetView>
  </sheetViews>
  <sheetFormatPr defaultRowHeight="15" x14ac:dyDescent="0.25"/>
  <cols>
    <col min="3" max="3" width="16.7109375" bestFit="1" customWidth="1"/>
    <col min="4" max="4" width="20" bestFit="1" customWidth="1"/>
    <col min="5" max="5" width="10" bestFit="1" customWidth="1"/>
  </cols>
  <sheetData>
    <row r="1" spans="1:5" x14ac:dyDescent="0.25">
      <c r="A1" s="91" t="s">
        <v>43</v>
      </c>
      <c r="B1" s="92" t="s">
        <v>44</v>
      </c>
      <c r="C1" s="92" t="s">
        <v>45</v>
      </c>
      <c r="D1" s="91" t="s">
        <v>46</v>
      </c>
      <c r="E1" s="92" t="s">
        <v>47</v>
      </c>
    </row>
    <row r="2" spans="1:5" x14ac:dyDescent="0.25">
      <c r="A2" s="111">
        <v>1</v>
      </c>
      <c r="B2" s="111">
        <f>IFERROR(INDEX(Data!$A$2:$A$120, MATCH(C2, Data!$B$2:$B$120, 0)), -1)</f>
        <v>-1</v>
      </c>
      <c r="C2" s="111">
        <f>Line!B3</f>
        <v>0</v>
      </c>
      <c r="D2" s="111" t="s">
        <v>263</v>
      </c>
      <c r="E2" s="111">
        <v>2</v>
      </c>
    </row>
    <row r="3" spans="1:5" x14ac:dyDescent="0.25">
      <c r="A3" s="111">
        <v>2</v>
      </c>
      <c r="B3" s="111">
        <f>IFERROR(INDEX(Data!$A$2:$A$120, MATCH(C3, Data!$B$2:$B$120, 0)), -1)</f>
        <v>336</v>
      </c>
      <c r="C3" s="111">
        <f>Line!B4</f>
        <v>132</v>
      </c>
      <c r="D3" s="111" t="s">
        <v>263</v>
      </c>
      <c r="E3" s="111">
        <v>3</v>
      </c>
    </row>
    <row r="4" spans="1:5" x14ac:dyDescent="0.25">
      <c r="A4" s="111">
        <v>3</v>
      </c>
      <c r="B4" s="111">
        <f>IFERROR(INDEX(Data!$A$2:$A$120, MATCH(C4, Data!$B$2:$B$120, 0)), -1)</f>
        <v>225</v>
      </c>
      <c r="C4" s="111">
        <f>Line!B5</f>
        <v>129</v>
      </c>
      <c r="D4" s="111" t="s">
        <v>263</v>
      </c>
      <c r="E4" s="111">
        <v>4</v>
      </c>
    </row>
    <row r="5" spans="1:5" x14ac:dyDescent="0.25">
      <c r="A5" s="111">
        <v>4</v>
      </c>
      <c r="B5" s="111">
        <f>IFERROR(INDEX(Data!$A$2:$A$120, MATCH(C5, Data!$B$2:$B$120, 0)), -1)</f>
        <v>447</v>
      </c>
      <c r="C5" s="111">
        <f>Line!B6</f>
        <v>130</v>
      </c>
      <c r="D5" s="111" t="s">
        <v>263</v>
      </c>
      <c r="E5" s="111">
        <v>5</v>
      </c>
    </row>
    <row r="6" spans="1:5" x14ac:dyDescent="0.25">
      <c r="A6" s="111">
        <v>5</v>
      </c>
      <c r="B6" s="111">
        <f>IFERROR(INDEX(Data!$A$2:$A$120, MATCH(C6, Data!$B$2:$B$120, 0)), -1)</f>
        <v>246</v>
      </c>
      <c r="C6" s="111">
        <f>Line!B7</f>
        <v>128</v>
      </c>
      <c r="D6" s="111" t="s">
        <v>263</v>
      </c>
      <c r="E6" s="111">
        <v>6</v>
      </c>
    </row>
    <row r="7" spans="1:5" x14ac:dyDescent="0.25">
      <c r="A7" s="111">
        <v>6</v>
      </c>
      <c r="B7" s="111">
        <f>IFERROR(INDEX(Data!$A$2:$A$120, MATCH(C7, Data!$B$2:$B$120, 0)), -1)</f>
        <v>405</v>
      </c>
      <c r="C7" s="111">
        <f>Line!B8</f>
        <v>133</v>
      </c>
      <c r="D7" s="111" t="s">
        <v>263</v>
      </c>
      <c r="E7" s="111">
        <v>7</v>
      </c>
    </row>
    <row r="8" spans="1:5" x14ac:dyDescent="0.25">
      <c r="A8" s="111">
        <v>7</v>
      </c>
      <c r="B8" s="111">
        <f>IFERROR(INDEX(Data!$A$2:$A$120, MATCH(C8, Data!$B$2:$B$120, 0)), -1)</f>
        <v>-1</v>
      </c>
      <c r="C8" s="111">
        <f>Line!B9</f>
        <v>0</v>
      </c>
      <c r="D8" s="111" t="s">
        <v>263</v>
      </c>
      <c r="E8" s="111">
        <v>8</v>
      </c>
    </row>
    <row r="9" spans="1:5" x14ac:dyDescent="0.25">
      <c r="A9" s="111">
        <v>8</v>
      </c>
      <c r="B9" s="111">
        <f>IFERROR(INDEX(Data!$A$2:$A$120, MATCH(C9, Data!$B$2:$B$120, 0)), -1)</f>
        <v>355</v>
      </c>
      <c r="C9" s="111">
        <f>Line!B10</f>
        <v>127</v>
      </c>
      <c r="D9" s="111" t="s">
        <v>263</v>
      </c>
      <c r="E9" s="111">
        <v>9</v>
      </c>
    </row>
    <row r="10" spans="1:5" x14ac:dyDescent="0.25">
      <c r="A10" s="111">
        <v>9</v>
      </c>
      <c r="B10" s="111">
        <f>IFERROR(INDEX(Data!$A$2:$A$120, MATCH(C10, Data!$B$2:$B$120, 0)), -1)</f>
        <v>428</v>
      </c>
      <c r="C10" s="111">
        <f>Line!B11</f>
        <v>136</v>
      </c>
      <c r="D10" s="111" t="s">
        <v>263</v>
      </c>
      <c r="E10" s="111">
        <v>10</v>
      </c>
    </row>
    <row r="11" spans="1:5" x14ac:dyDescent="0.25">
      <c r="A11" s="111">
        <v>10</v>
      </c>
      <c r="B11" s="111">
        <f>IFERROR(INDEX(Data!$A$2:$A$120, MATCH(C11, Data!$B$2:$B$120, 0)), -1)</f>
        <v>443</v>
      </c>
      <c r="C11" s="111">
        <f>Line!B12</f>
        <v>135</v>
      </c>
      <c r="D11" s="111" t="s">
        <v>263</v>
      </c>
      <c r="E11" s="111">
        <v>11</v>
      </c>
    </row>
    <row r="12" spans="1:5" x14ac:dyDescent="0.25">
      <c r="A12" s="111">
        <v>11</v>
      </c>
      <c r="B12" s="111">
        <f>IFERROR(INDEX(Data!$A$2:$A$120, MATCH(C12, Data!$B$2:$B$120, 0)), -1)</f>
        <v>442</v>
      </c>
      <c r="C12" s="111">
        <f>Line!B13</f>
        <v>137</v>
      </c>
      <c r="D12" s="111" t="s">
        <v>263</v>
      </c>
      <c r="E12" s="111">
        <v>12</v>
      </c>
    </row>
    <row r="13" spans="1:5" x14ac:dyDescent="0.25">
      <c r="A13" s="111">
        <v>12</v>
      </c>
      <c r="B13" s="111">
        <f>IFERROR(INDEX(Data!$A$2:$A$120, MATCH(C13, Data!$B$2:$B$120, 0)), -1)</f>
        <v>446</v>
      </c>
      <c r="C13" s="111">
        <f>Line!B14</f>
        <v>138</v>
      </c>
      <c r="D13" s="111" t="s">
        <v>263</v>
      </c>
      <c r="E13" s="111">
        <v>13</v>
      </c>
    </row>
    <row r="14" spans="1:5" x14ac:dyDescent="0.25">
      <c r="A14" s="111">
        <v>13</v>
      </c>
      <c r="B14" s="111">
        <f>IFERROR(INDEX(Data!$A$2:$A$120, MATCH(C14, Data!$B$2:$B$120, 0)), -1)</f>
        <v>387</v>
      </c>
      <c r="C14" s="111">
        <f>Line!B15</f>
        <v>139</v>
      </c>
      <c r="D14" s="111" t="s">
        <v>263</v>
      </c>
      <c r="E14" s="111">
        <v>14</v>
      </c>
    </row>
    <row r="15" spans="1:5" x14ac:dyDescent="0.25">
      <c r="A15" s="111">
        <v>14</v>
      </c>
      <c r="B15" s="111">
        <f>IFERROR(INDEX(Data!$A$2:$A$120, MATCH(C15, Data!$B$2:$B$120, 0)), -1)</f>
        <v>389</v>
      </c>
      <c r="C15" s="111">
        <f>Line!B2</f>
        <v>131</v>
      </c>
      <c r="D15" s="111" t="s">
        <v>263</v>
      </c>
      <c r="E15" s="111">
        <v>1</v>
      </c>
    </row>
    <row r="16" spans="1:5" x14ac:dyDescent="0.25">
      <c r="A16" s="90">
        <v>15</v>
      </c>
      <c r="B16" s="90">
        <v>-1</v>
      </c>
      <c r="C16" s="90" t="s">
        <v>49</v>
      </c>
      <c r="D16" s="90" t="s">
        <v>48</v>
      </c>
      <c r="E16" s="90">
        <v>21</v>
      </c>
    </row>
    <row r="17" spans="1:5" x14ac:dyDescent="0.25">
      <c r="A17" s="90">
        <v>16</v>
      </c>
      <c r="B17" s="90">
        <v>-1</v>
      </c>
      <c r="C17" s="90" t="s">
        <v>50</v>
      </c>
      <c r="D17" s="90" t="s">
        <v>48</v>
      </c>
      <c r="E17" s="90">
        <v>46</v>
      </c>
    </row>
    <row r="18" spans="1:5" x14ac:dyDescent="0.25">
      <c r="A18" s="90">
        <v>17</v>
      </c>
      <c r="B18" s="90">
        <v>-1</v>
      </c>
      <c r="C18" s="90" t="s">
        <v>51</v>
      </c>
      <c r="D18" s="90" t="s">
        <v>48</v>
      </c>
      <c r="E18" s="90">
        <v>37</v>
      </c>
    </row>
    <row r="19" spans="1:5" x14ac:dyDescent="0.25">
      <c r="A19" s="90">
        <v>18</v>
      </c>
      <c r="B19" s="90">
        <v>-1</v>
      </c>
      <c r="C19" s="90" t="s">
        <v>52</v>
      </c>
      <c r="D19" s="90" t="s">
        <v>48</v>
      </c>
      <c r="E19" s="90">
        <v>38</v>
      </c>
    </row>
    <row r="20" spans="1:5" x14ac:dyDescent="0.25">
      <c r="A20" s="90">
        <v>19</v>
      </c>
      <c r="B20" s="90">
        <v>-1</v>
      </c>
      <c r="C20" s="90" t="s">
        <v>53</v>
      </c>
      <c r="D20" s="90" t="s">
        <v>48</v>
      </c>
      <c r="E20" s="90">
        <v>39</v>
      </c>
    </row>
    <row r="21" spans="1:5" x14ac:dyDescent="0.25">
      <c r="A21" s="90">
        <v>21</v>
      </c>
      <c r="B21" s="90">
        <v>-1</v>
      </c>
      <c r="C21" s="90" t="s">
        <v>54</v>
      </c>
      <c r="D21" s="90" t="s">
        <v>48</v>
      </c>
      <c r="E21" s="90">
        <v>19</v>
      </c>
    </row>
    <row r="22" spans="1:5" x14ac:dyDescent="0.25">
      <c r="A22" s="90">
        <v>22</v>
      </c>
      <c r="B22" s="90">
        <v>-1</v>
      </c>
      <c r="C22" s="90" t="s">
        <v>55</v>
      </c>
      <c r="D22" s="90" t="s">
        <v>48</v>
      </c>
      <c r="E22" s="90">
        <v>40</v>
      </c>
    </row>
    <row r="23" spans="1:5" x14ac:dyDescent="0.25">
      <c r="A23" s="90">
        <v>23</v>
      </c>
      <c r="B23" s="90">
        <v>-1</v>
      </c>
      <c r="C23" s="90" t="s">
        <v>56</v>
      </c>
      <c r="D23" s="90" t="s">
        <v>48</v>
      </c>
      <c r="E23" s="90">
        <v>35</v>
      </c>
    </row>
    <row r="24" spans="1:5" x14ac:dyDescent="0.25">
      <c r="A24" s="90">
        <v>24</v>
      </c>
      <c r="B24" s="90">
        <v>-1</v>
      </c>
      <c r="C24" s="90" t="s">
        <v>57</v>
      </c>
      <c r="D24" s="90" t="s">
        <v>48</v>
      </c>
      <c r="E24" s="90">
        <v>42</v>
      </c>
    </row>
    <row r="25" spans="1:5" x14ac:dyDescent="0.25">
      <c r="A25" s="90">
        <v>25</v>
      </c>
      <c r="B25" s="90">
        <v>-1</v>
      </c>
      <c r="C25" s="90" t="s">
        <v>58</v>
      </c>
      <c r="D25" s="90" t="s">
        <v>48</v>
      </c>
      <c r="E25" s="90">
        <v>31</v>
      </c>
    </row>
    <row r="26" spans="1:5" x14ac:dyDescent="0.25">
      <c r="A26" s="90">
        <v>26</v>
      </c>
      <c r="B26" s="90">
        <v>-1</v>
      </c>
      <c r="C26" s="90" t="s">
        <v>59</v>
      </c>
      <c r="D26" s="90" t="s">
        <v>48</v>
      </c>
      <c r="E26" s="90">
        <v>32</v>
      </c>
    </row>
    <row r="27" spans="1:5" x14ac:dyDescent="0.25">
      <c r="A27" s="90">
        <v>27</v>
      </c>
      <c r="B27" s="90">
        <v>-1</v>
      </c>
      <c r="C27" s="90" t="s">
        <v>60</v>
      </c>
      <c r="D27" s="90" t="s">
        <v>48</v>
      </c>
      <c r="E27" s="90">
        <v>43</v>
      </c>
    </row>
    <row r="28" spans="1:5" x14ac:dyDescent="0.25">
      <c r="A28" s="90">
        <v>28</v>
      </c>
      <c r="B28" s="90">
        <v>-1</v>
      </c>
      <c r="C28" s="90" t="s">
        <v>61</v>
      </c>
      <c r="D28" s="90" t="s">
        <v>48</v>
      </c>
      <c r="E28" s="90">
        <v>45</v>
      </c>
    </row>
    <row r="29" spans="1:5" x14ac:dyDescent="0.25">
      <c r="A29" s="112">
        <v>29</v>
      </c>
      <c r="B29" s="112">
        <f>IFERROR(INDEX(Data!$A$2:$A$120, MATCH(C29, Data!$B$2:$B$120, 0)), -1)</f>
        <v>359</v>
      </c>
      <c r="C29" s="112">
        <f>Line!B16</f>
        <v>126</v>
      </c>
      <c r="D29" s="112" t="s">
        <v>264</v>
      </c>
      <c r="E29" s="112">
        <v>1</v>
      </c>
    </row>
    <row r="30" spans="1:5" x14ac:dyDescent="0.25">
      <c r="A30" s="112">
        <v>30</v>
      </c>
      <c r="B30" s="112">
        <f>IFERROR(INDEX(Data!$A$2:$A$120, MATCH(C30, Data!$B$2:$B$120, 0)), -1)</f>
        <v>352</v>
      </c>
      <c r="C30" s="112">
        <f>Line!B17</f>
        <v>125</v>
      </c>
      <c r="D30" s="112" t="s">
        <v>264</v>
      </c>
      <c r="E30" s="112">
        <v>2</v>
      </c>
    </row>
    <row r="31" spans="1:5" x14ac:dyDescent="0.25">
      <c r="A31" s="112">
        <v>31</v>
      </c>
      <c r="B31" s="112">
        <f>IFERROR(INDEX(Data!$A$2:$A$120, MATCH(C31, Data!$B$2:$B$120, 0)), -1)</f>
        <v>357</v>
      </c>
      <c r="C31" s="112">
        <f>Line!B18</f>
        <v>124</v>
      </c>
      <c r="D31" s="112" t="s">
        <v>264</v>
      </c>
      <c r="E31" s="112">
        <v>3</v>
      </c>
    </row>
    <row r="32" spans="1:5" x14ac:dyDescent="0.25">
      <c r="A32" s="112">
        <v>32</v>
      </c>
      <c r="B32" s="112">
        <f>IFERROR(INDEX(Data!$A$2:$A$120, MATCH(C32, Data!$B$2:$B$120, 0)), -1)</f>
        <v>265</v>
      </c>
      <c r="C32" s="112">
        <f>Line!B19</f>
        <v>123</v>
      </c>
      <c r="D32" s="112" t="s">
        <v>264</v>
      </c>
      <c r="E32" s="112">
        <v>4</v>
      </c>
    </row>
    <row r="33" spans="1:5" x14ac:dyDescent="0.25">
      <c r="A33" s="112">
        <v>33</v>
      </c>
      <c r="B33" s="112">
        <f>IFERROR(INDEX(Data!$A$2:$A$120, MATCH(C33, Data!$B$2:$B$120, 0)), -1)</f>
        <v>399</v>
      </c>
      <c r="C33" s="112">
        <f>Line!B20</f>
        <v>122</v>
      </c>
      <c r="D33" s="112" t="s">
        <v>264</v>
      </c>
      <c r="E33" s="112">
        <v>5</v>
      </c>
    </row>
    <row r="34" spans="1:5" x14ac:dyDescent="0.25">
      <c r="A34" s="112">
        <v>34</v>
      </c>
      <c r="B34" s="112">
        <f>IFERROR(INDEX(Data!$A$2:$A$120, MATCH(C34, Data!$B$2:$B$120, 0)), -1)</f>
        <v>219</v>
      </c>
      <c r="C34" s="112">
        <f>Line!B21</f>
        <v>121</v>
      </c>
      <c r="D34" s="112" t="s">
        <v>264</v>
      </c>
      <c r="E34" s="112">
        <v>6</v>
      </c>
    </row>
    <row r="35" spans="1:5" x14ac:dyDescent="0.25">
      <c r="A35" s="112">
        <v>35</v>
      </c>
      <c r="B35" s="112">
        <f>IFERROR(INDEX(Data!$A$2:$A$120, MATCH(C35, Data!$B$2:$B$120, 0)), -1)</f>
        <v>-1</v>
      </c>
      <c r="C35" s="112">
        <f>Line!B22</f>
        <v>120</v>
      </c>
      <c r="D35" s="112" t="s">
        <v>264</v>
      </c>
      <c r="E35" s="112">
        <v>7</v>
      </c>
    </row>
    <row r="36" spans="1:5" x14ac:dyDescent="0.25">
      <c r="A36" s="112">
        <v>36</v>
      </c>
      <c r="B36" s="112">
        <f>IFERROR(INDEX(Data!$A$2:$A$120, MATCH(C36, Data!$B$2:$B$120, 0)), -1)</f>
        <v>395</v>
      </c>
      <c r="C36" s="112">
        <f>Line!B23</f>
        <v>119</v>
      </c>
      <c r="D36" s="112" t="s">
        <v>264</v>
      </c>
      <c r="E36" s="112">
        <v>8</v>
      </c>
    </row>
    <row r="37" spans="1:5" x14ac:dyDescent="0.25">
      <c r="A37" s="112">
        <v>37</v>
      </c>
      <c r="B37" s="112">
        <f>IFERROR(INDEX(Data!$A$2:$A$120, MATCH(C37, Data!$B$2:$B$120, 0)), -1)</f>
        <v>370</v>
      </c>
      <c r="C37" s="112">
        <f>Line!B24</f>
        <v>118</v>
      </c>
      <c r="D37" s="112" t="s">
        <v>264</v>
      </c>
      <c r="E37" s="112">
        <v>9</v>
      </c>
    </row>
    <row r="38" spans="1:5" x14ac:dyDescent="0.25">
      <c r="A38" s="112">
        <v>38</v>
      </c>
      <c r="B38" s="112">
        <f>IFERROR(INDEX(Data!$A$2:$A$120, MATCH(C38, Data!$B$2:$B$120, 0)), -1)</f>
        <v>195</v>
      </c>
      <c r="C38" s="112">
        <f>Line!B25</f>
        <v>117</v>
      </c>
      <c r="D38" s="112" t="s">
        <v>264</v>
      </c>
      <c r="E38" s="112">
        <v>10</v>
      </c>
    </row>
    <row r="39" spans="1:5" x14ac:dyDescent="0.25">
      <c r="A39" s="112">
        <v>39</v>
      </c>
      <c r="B39" s="112">
        <f>IFERROR(INDEX(Data!$A$2:$A$120, MATCH(C39, Data!$B$2:$B$120, 0)), -1)</f>
        <v>398</v>
      </c>
      <c r="C39" s="112">
        <f>Line!B26</f>
        <v>116</v>
      </c>
      <c r="D39" s="112" t="s">
        <v>264</v>
      </c>
      <c r="E39" s="112">
        <v>11</v>
      </c>
    </row>
    <row r="40" spans="1:5" x14ac:dyDescent="0.25">
      <c r="A40" s="112">
        <v>40</v>
      </c>
      <c r="B40" s="112">
        <f>IFERROR(INDEX(Data!$A$2:$A$120, MATCH(C40, Data!$B$2:$B$120, 0)), -1)</f>
        <v>192</v>
      </c>
      <c r="C40" s="112">
        <f>Line!B27</f>
        <v>115</v>
      </c>
      <c r="D40" s="112" t="s">
        <v>264</v>
      </c>
      <c r="E40" s="112">
        <v>12</v>
      </c>
    </row>
    <row r="41" spans="1:5" x14ac:dyDescent="0.25">
      <c r="A41" s="112">
        <v>41</v>
      </c>
      <c r="B41" s="112">
        <f>IFERROR(INDEX(Data!$A$2:$A$120, MATCH(C41, Data!$B$2:$B$120, 0)), -1)</f>
        <v>358</v>
      </c>
      <c r="C41" s="112">
        <f>Line!B28</f>
        <v>114</v>
      </c>
      <c r="D41" s="112" t="s">
        <v>264</v>
      </c>
      <c r="E41" s="112">
        <v>13</v>
      </c>
    </row>
    <row r="42" spans="1:5" x14ac:dyDescent="0.25">
      <c r="A42" s="112">
        <v>42</v>
      </c>
      <c r="B42" s="112">
        <f>IFERROR(INDEX(Data!$A$2:$A$120, MATCH(C42, Data!$B$2:$B$120, 0)), -1)</f>
        <v>-1</v>
      </c>
      <c r="C42" s="112">
        <f>Line!B29</f>
        <v>113</v>
      </c>
      <c r="D42" s="112" t="s">
        <v>264</v>
      </c>
      <c r="E42" s="112">
        <v>14</v>
      </c>
    </row>
    <row r="43" spans="1:5" x14ac:dyDescent="0.25">
      <c r="A43" s="90">
        <v>43</v>
      </c>
      <c r="B43" s="90">
        <v>-1</v>
      </c>
      <c r="C43" s="90">
        <v>700</v>
      </c>
      <c r="D43" s="90" t="s">
        <v>62</v>
      </c>
      <c r="E43" s="90">
        <v>15</v>
      </c>
    </row>
    <row r="44" spans="1:5" x14ac:dyDescent="0.25">
      <c r="A44" s="90">
        <v>44</v>
      </c>
      <c r="B44" s="90">
        <v>-1</v>
      </c>
      <c r="C44" s="90">
        <v>701</v>
      </c>
      <c r="D44" s="90" t="s">
        <v>62</v>
      </c>
      <c r="E44" s="90">
        <v>16</v>
      </c>
    </row>
    <row r="45" spans="1:5" x14ac:dyDescent="0.25">
      <c r="A45" s="90">
        <v>45</v>
      </c>
      <c r="B45" s="90">
        <v>-1</v>
      </c>
      <c r="C45" s="90">
        <v>702</v>
      </c>
      <c r="D45" s="90" t="s">
        <v>62</v>
      </c>
      <c r="E45" s="90">
        <v>17</v>
      </c>
    </row>
    <row r="46" spans="1:5" x14ac:dyDescent="0.25">
      <c r="A46" s="90">
        <v>46</v>
      </c>
      <c r="B46" s="90">
        <v>-1</v>
      </c>
      <c r="C46" s="90">
        <v>703</v>
      </c>
      <c r="D46" s="90" t="s">
        <v>62</v>
      </c>
      <c r="E46" s="90">
        <v>18</v>
      </c>
    </row>
    <row r="47" spans="1:5" x14ac:dyDescent="0.25">
      <c r="A47" s="90">
        <v>47</v>
      </c>
      <c r="B47" s="90">
        <v>-1</v>
      </c>
      <c r="C47" s="90">
        <v>704</v>
      </c>
      <c r="D47" s="90" t="s">
        <v>62</v>
      </c>
      <c r="E47" s="90">
        <v>19</v>
      </c>
    </row>
    <row r="48" spans="1:5" x14ac:dyDescent="0.25">
      <c r="A48" s="90">
        <v>48</v>
      </c>
      <c r="B48" s="90">
        <v>-1</v>
      </c>
      <c r="C48" s="90">
        <v>705</v>
      </c>
      <c r="D48" s="90" t="s">
        <v>62</v>
      </c>
      <c r="E48" s="90">
        <v>20</v>
      </c>
    </row>
    <row r="49" spans="1:5" x14ac:dyDescent="0.25">
      <c r="A49" s="90">
        <v>49</v>
      </c>
      <c r="B49" s="90">
        <v>-1</v>
      </c>
      <c r="C49" s="90">
        <v>706</v>
      </c>
      <c r="D49" s="90" t="s">
        <v>62</v>
      </c>
      <c r="E49" s="90">
        <v>21</v>
      </c>
    </row>
    <row r="50" spans="1:5" x14ac:dyDescent="0.25">
      <c r="A50" s="90">
        <v>50</v>
      </c>
      <c r="B50" s="90">
        <v>-1</v>
      </c>
      <c r="C50" s="90">
        <v>707</v>
      </c>
      <c r="D50" s="90" t="s">
        <v>62</v>
      </c>
      <c r="E50" s="90">
        <v>22</v>
      </c>
    </row>
    <row r="51" spans="1:5" x14ac:dyDescent="0.25">
      <c r="A51" s="90">
        <v>51</v>
      </c>
      <c r="B51" s="90">
        <v>-1</v>
      </c>
      <c r="C51" s="90">
        <v>708</v>
      </c>
      <c r="D51" s="90" t="s">
        <v>62</v>
      </c>
      <c r="E51" s="90">
        <v>23</v>
      </c>
    </row>
    <row r="52" spans="1:5" x14ac:dyDescent="0.25">
      <c r="A52" s="90">
        <v>52</v>
      </c>
      <c r="B52" s="90">
        <v>-1</v>
      </c>
      <c r="C52" s="90">
        <v>709</v>
      </c>
      <c r="D52" s="90" t="s">
        <v>62</v>
      </c>
      <c r="E52" s="90">
        <v>24</v>
      </c>
    </row>
    <row r="53" spans="1:5" x14ac:dyDescent="0.25">
      <c r="A53" s="115">
        <v>53</v>
      </c>
      <c r="B53" s="115">
        <f>IFERROR(INDEX(Data!$A$2:$A$120, MATCH(C53, Data!$B$2:$B$120, 0)), -1)</f>
        <v>458</v>
      </c>
      <c r="C53" s="115">
        <f>Line!B98</f>
        <v>214</v>
      </c>
      <c r="D53" s="115" t="s">
        <v>262</v>
      </c>
      <c r="E53" s="115">
        <v>1</v>
      </c>
    </row>
    <row r="54" spans="1:5" x14ac:dyDescent="0.25">
      <c r="A54" s="115">
        <v>54</v>
      </c>
      <c r="B54" s="115">
        <f>IFERROR(INDEX(Data!$A$2:$A$120, MATCH(C54, Data!$B$2:$B$120, 0)), -1)</f>
        <v>456</v>
      </c>
      <c r="C54" s="115">
        <f>Line!B99</f>
        <v>215</v>
      </c>
      <c r="D54" s="115" t="s">
        <v>262</v>
      </c>
      <c r="E54" s="115">
        <v>2</v>
      </c>
    </row>
    <row r="55" spans="1:5" x14ac:dyDescent="0.25">
      <c r="A55" s="115">
        <v>55</v>
      </c>
      <c r="B55" s="115">
        <f>IFERROR(INDEX(Data!$A$2:$A$120, MATCH(C55, Data!$B$2:$B$120, 0)), -1)</f>
        <v>480</v>
      </c>
      <c r="C55" s="115">
        <f>Line!B100</f>
        <v>216</v>
      </c>
      <c r="D55" s="115" t="s">
        <v>262</v>
      </c>
      <c r="E55" s="115">
        <v>3</v>
      </c>
    </row>
    <row r="56" spans="1:5" x14ac:dyDescent="0.25">
      <c r="A56" s="115">
        <v>56</v>
      </c>
      <c r="B56" s="115">
        <f>IFERROR(INDEX(Data!$A$2:$A$120, MATCH(C56, Data!$B$2:$B$120, 0)), -1)</f>
        <v>467</v>
      </c>
      <c r="C56" s="115">
        <f>Line!B101</f>
        <v>217</v>
      </c>
      <c r="D56" s="115" t="s">
        <v>262</v>
      </c>
      <c r="E56" s="115">
        <v>4</v>
      </c>
    </row>
    <row r="57" spans="1:5" x14ac:dyDescent="0.25">
      <c r="A57" s="115">
        <v>57</v>
      </c>
      <c r="B57" s="115">
        <f>IFERROR(INDEX(Data!$A$2:$A$120, MATCH(C57, Data!$B$2:$B$120, 0)), -1)</f>
        <v>421</v>
      </c>
      <c r="C57" s="115">
        <f>Line!B102</f>
        <v>218</v>
      </c>
      <c r="D57" s="115" t="s">
        <v>262</v>
      </c>
      <c r="E57" s="115">
        <v>5</v>
      </c>
    </row>
    <row r="58" spans="1:5" x14ac:dyDescent="0.25">
      <c r="A58" s="90">
        <v>58</v>
      </c>
      <c r="B58" s="90">
        <v>-1</v>
      </c>
      <c r="C58" s="90" t="s">
        <v>64</v>
      </c>
      <c r="D58" s="90" t="s">
        <v>63</v>
      </c>
      <c r="E58" s="90">
        <v>4</v>
      </c>
    </row>
    <row r="59" spans="1:5" x14ac:dyDescent="0.25">
      <c r="A59" s="90">
        <v>59</v>
      </c>
      <c r="B59" s="90">
        <v>-1</v>
      </c>
      <c r="C59" s="90" t="s">
        <v>65</v>
      </c>
      <c r="D59" s="90" t="s">
        <v>63</v>
      </c>
      <c r="E59" s="90">
        <v>5</v>
      </c>
    </row>
    <row r="60" spans="1:5" x14ac:dyDescent="0.25">
      <c r="A60" s="90">
        <v>60</v>
      </c>
      <c r="B60" s="90">
        <v>-1</v>
      </c>
      <c r="C60" s="90" t="s">
        <v>66</v>
      </c>
      <c r="D60" s="90" t="s">
        <v>63</v>
      </c>
      <c r="E60" s="90">
        <v>6</v>
      </c>
    </row>
    <row r="61" spans="1:5" x14ac:dyDescent="0.25">
      <c r="A61" s="90">
        <v>61</v>
      </c>
      <c r="B61" s="90">
        <v>-1</v>
      </c>
      <c r="C61" s="90" t="s">
        <v>67</v>
      </c>
      <c r="D61" s="90" t="s">
        <v>63</v>
      </c>
      <c r="E61" s="90">
        <v>7</v>
      </c>
    </row>
    <row r="62" spans="1:5" x14ac:dyDescent="0.25">
      <c r="A62" s="90">
        <v>62</v>
      </c>
      <c r="B62" s="90">
        <v>-1</v>
      </c>
      <c r="C62" s="90" t="s">
        <v>68</v>
      </c>
      <c r="D62" s="90" t="s">
        <v>63</v>
      </c>
      <c r="E62" s="90">
        <v>8</v>
      </c>
    </row>
    <row r="63" spans="1:5" x14ac:dyDescent="0.25">
      <c r="A63" s="90">
        <v>63</v>
      </c>
      <c r="B63" s="90">
        <v>-1</v>
      </c>
      <c r="C63" s="90" t="s">
        <v>69</v>
      </c>
      <c r="D63" s="90" t="s">
        <v>63</v>
      </c>
      <c r="E63" s="90">
        <v>12</v>
      </c>
    </row>
    <row r="64" spans="1:5" x14ac:dyDescent="0.25">
      <c r="A64" s="90">
        <v>64</v>
      </c>
      <c r="B64" s="90">
        <v>-1</v>
      </c>
      <c r="C64" s="90" t="s">
        <v>70</v>
      </c>
      <c r="D64" s="90" t="s">
        <v>63</v>
      </c>
      <c r="E64" s="90">
        <v>-1</v>
      </c>
    </row>
    <row r="65" spans="1:5" x14ac:dyDescent="0.25">
      <c r="A65" s="90">
        <v>65</v>
      </c>
      <c r="B65" s="90">
        <v>-1</v>
      </c>
      <c r="C65" s="90" t="s">
        <v>71</v>
      </c>
      <c r="D65" s="90" t="s">
        <v>63</v>
      </c>
      <c r="E65" s="90">
        <v>13</v>
      </c>
    </row>
    <row r="66" spans="1:5" x14ac:dyDescent="0.25">
      <c r="A66" s="90">
        <v>66</v>
      </c>
      <c r="B66" s="90">
        <v>-1</v>
      </c>
      <c r="C66" s="90" t="s">
        <v>72</v>
      </c>
      <c r="D66" s="90" t="s">
        <v>63</v>
      </c>
      <c r="E66" s="90">
        <v>14</v>
      </c>
    </row>
    <row r="67" spans="1:5" x14ac:dyDescent="0.25">
      <c r="A67" s="90">
        <v>67</v>
      </c>
      <c r="B67" s="90">
        <v>-1</v>
      </c>
      <c r="C67" s="90" t="s">
        <v>73</v>
      </c>
      <c r="D67" s="90" t="s">
        <v>63</v>
      </c>
      <c r="E67" s="90">
        <v>15</v>
      </c>
    </row>
    <row r="68" spans="1:5" x14ac:dyDescent="0.25">
      <c r="A68" s="90">
        <v>68</v>
      </c>
      <c r="B68" s="90">
        <v>-1</v>
      </c>
      <c r="C68" s="90" t="s">
        <v>74</v>
      </c>
      <c r="D68" s="90" t="s">
        <v>63</v>
      </c>
      <c r="E68" s="90">
        <v>16</v>
      </c>
    </row>
    <row r="69" spans="1:5" x14ac:dyDescent="0.25">
      <c r="A69" s="90">
        <v>69</v>
      </c>
      <c r="B69" s="90">
        <v>-1</v>
      </c>
      <c r="C69" s="90" t="s">
        <v>75</v>
      </c>
      <c r="D69" s="90" t="s">
        <v>63</v>
      </c>
      <c r="E69" s="90">
        <v>17</v>
      </c>
    </row>
    <row r="70" spans="1:5" x14ac:dyDescent="0.25">
      <c r="A70" s="90">
        <v>70</v>
      </c>
      <c r="B70" s="90">
        <v>-1</v>
      </c>
      <c r="C70" s="90" t="s">
        <v>76</v>
      </c>
      <c r="D70" s="90" t="s">
        <v>63</v>
      </c>
      <c r="E70" s="90">
        <v>19</v>
      </c>
    </row>
    <row r="71" spans="1:5" x14ac:dyDescent="0.25">
      <c r="A71" s="90">
        <v>71</v>
      </c>
      <c r="B71" s="90">
        <v>-1</v>
      </c>
      <c r="C71" s="90" t="s">
        <v>77</v>
      </c>
      <c r="D71" s="90" t="s">
        <v>63</v>
      </c>
      <c r="E71" s="90">
        <v>18</v>
      </c>
    </row>
    <row r="72" spans="1:5" x14ac:dyDescent="0.25">
      <c r="A72" s="90">
        <v>72</v>
      </c>
      <c r="B72" s="90">
        <v>-1</v>
      </c>
      <c r="C72" s="90" t="s">
        <v>78</v>
      </c>
      <c r="D72" s="90" t="s">
        <v>63</v>
      </c>
      <c r="E72" s="90">
        <v>20</v>
      </c>
    </row>
    <row r="73" spans="1:5" x14ac:dyDescent="0.25">
      <c r="A73" s="90">
        <v>73</v>
      </c>
      <c r="B73" s="90">
        <v>-1</v>
      </c>
      <c r="C73" s="90" t="s">
        <v>79</v>
      </c>
      <c r="D73" s="90" t="s">
        <v>63</v>
      </c>
      <c r="E73" s="90">
        <v>21</v>
      </c>
    </row>
    <row r="74" spans="1:5" x14ac:dyDescent="0.25">
      <c r="A74" s="90">
        <v>74</v>
      </c>
      <c r="B74" s="90">
        <v>-1</v>
      </c>
      <c r="C74" s="90" t="s">
        <v>80</v>
      </c>
      <c r="D74" s="90" t="s">
        <v>63</v>
      </c>
      <c r="E74" s="90">
        <v>23</v>
      </c>
    </row>
    <row r="75" spans="1:5" x14ac:dyDescent="0.25">
      <c r="A75" s="90">
        <v>75</v>
      </c>
      <c r="B75" s="90">
        <v>-1</v>
      </c>
      <c r="C75" s="90" t="s">
        <v>81</v>
      </c>
      <c r="D75" s="90" t="s">
        <v>63</v>
      </c>
      <c r="E75" s="90">
        <v>22</v>
      </c>
    </row>
    <row r="76" spans="1:5" x14ac:dyDescent="0.25">
      <c r="A76" s="90">
        <v>76</v>
      </c>
      <c r="B76" s="90">
        <v>-1</v>
      </c>
      <c r="C76" s="90" t="s">
        <v>82</v>
      </c>
      <c r="D76" s="90" t="s">
        <v>63</v>
      </c>
      <c r="E76" s="90">
        <v>24</v>
      </c>
    </row>
    <row r="77" spans="1:5" x14ac:dyDescent="0.25">
      <c r="A77" s="90">
        <v>77</v>
      </c>
      <c r="B77" s="90">
        <v>-1</v>
      </c>
      <c r="C77" s="90" t="s">
        <v>83</v>
      </c>
      <c r="D77" s="90" t="s">
        <v>63</v>
      </c>
      <c r="E77" s="90">
        <v>26</v>
      </c>
    </row>
    <row r="78" spans="1:5" x14ac:dyDescent="0.25">
      <c r="A78" s="90">
        <v>78</v>
      </c>
      <c r="B78" s="90">
        <v>-1</v>
      </c>
      <c r="C78" s="90" t="s">
        <v>84</v>
      </c>
      <c r="D78" s="90" t="s">
        <v>63</v>
      </c>
      <c r="E78" s="90">
        <v>27</v>
      </c>
    </row>
    <row r="79" spans="1:5" x14ac:dyDescent="0.25">
      <c r="A79" s="90">
        <v>79</v>
      </c>
      <c r="B79" s="90">
        <v>-1</v>
      </c>
      <c r="C79" s="90" t="s">
        <v>85</v>
      </c>
      <c r="D79" s="90" t="s">
        <v>63</v>
      </c>
      <c r="E79" s="90">
        <v>25</v>
      </c>
    </row>
    <row r="80" spans="1:5" x14ac:dyDescent="0.25">
      <c r="A80" s="90">
        <v>80</v>
      </c>
      <c r="B80" s="90">
        <v>-1</v>
      </c>
      <c r="C80" s="90" t="s">
        <v>86</v>
      </c>
      <c r="D80" s="90" t="s">
        <v>63</v>
      </c>
      <c r="E80" s="90">
        <v>31</v>
      </c>
    </row>
    <row r="81" spans="1:5" x14ac:dyDescent="0.25">
      <c r="A81" s="90">
        <v>81</v>
      </c>
      <c r="B81" s="90">
        <v>-1</v>
      </c>
      <c r="C81" s="90" t="s">
        <v>87</v>
      </c>
      <c r="D81" s="90" t="s">
        <v>63</v>
      </c>
      <c r="E81" s="90">
        <v>30</v>
      </c>
    </row>
    <row r="82" spans="1:5" x14ac:dyDescent="0.25">
      <c r="A82" s="90">
        <v>82</v>
      </c>
      <c r="B82" s="90">
        <v>-1</v>
      </c>
      <c r="C82" s="90" t="s">
        <v>88</v>
      </c>
      <c r="D82" s="90" t="s">
        <v>63</v>
      </c>
      <c r="E82" s="90">
        <v>33</v>
      </c>
    </row>
    <row r="83" spans="1:5" x14ac:dyDescent="0.25">
      <c r="A83" s="90">
        <v>83</v>
      </c>
      <c r="B83" s="90">
        <v>-1</v>
      </c>
      <c r="C83" s="90" t="s">
        <v>89</v>
      </c>
      <c r="D83" s="90" t="s">
        <v>63</v>
      </c>
      <c r="E83" s="90">
        <v>32</v>
      </c>
    </row>
    <row r="84" spans="1:5" x14ac:dyDescent="0.25">
      <c r="A84" s="90">
        <v>84</v>
      </c>
      <c r="B84" s="90">
        <v>-1</v>
      </c>
      <c r="C84" s="90" t="s">
        <v>90</v>
      </c>
      <c r="D84" s="90" t="s">
        <v>63</v>
      </c>
      <c r="E84" s="90">
        <v>35</v>
      </c>
    </row>
    <row r="85" spans="1:5" x14ac:dyDescent="0.25">
      <c r="A85" s="90">
        <v>85</v>
      </c>
      <c r="B85" s="90">
        <v>-1</v>
      </c>
      <c r="C85" s="90" t="s">
        <v>91</v>
      </c>
      <c r="D85" s="90" t="s">
        <v>63</v>
      </c>
      <c r="E85" s="90">
        <v>34</v>
      </c>
    </row>
    <row r="86" spans="1:5" x14ac:dyDescent="0.25">
      <c r="A86" s="90">
        <v>86</v>
      </c>
      <c r="B86" s="90">
        <v>-1</v>
      </c>
      <c r="C86" s="90" t="s">
        <v>92</v>
      </c>
      <c r="D86" s="90" t="s">
        <v>63</v>
      </c>
      <c r="E86" s="90">
        <v>37</v>
      </c>
    </row>
    <row r="87" spans="1:5" x14ac:dyDescent="0.25">
      <c r="A87" s="90">
        <v>87</v>
      </c>
      <c r="B87" s="90">
        <v>-1</v>
      </c>
      <c r="C87" s="90" t="s">
        <v>93</v>
      </c>
      <c r="D87" s="90" t="s">
        <v>63</v>
      </c>
      <c r="E87" s="90">
        <v>36</v>
      </c>
    </row>
    <row r="88" spans="1:5" x14ac:dyDescent="0.25">
      <c r="A88" s="90">
        <v>88</v>
      </c>
      <c r="B88" s="90">
        <v>-1</v>
      </c>
      <c r="C88" s="90" t="s">
        <v>94</v>
      </c>
      <c r="D88" s="90" t="s">
        <v>63</v>
      </c>
      <c r="E88" s="90">
        <v>39</v>
      </c>
    </row>
    <row r="89" spans="1:5" x14ac:dyDescent="0.25">
      <c r="A89" s="90">
        <v>89</v>
      </c>
      <c r="B89" s="90">
        <v>-1</v>
      </c>
      <c r="C89" s="90" t="s">
        <v>95</v>
      </c>
      <c r="D89" s="90" t="s">
        <v>63</v>
      </c>
      <c r="E89" s="90">
        <v>38</v>
      </c>
    </row>
    <row r="90" spans="1:5" x14ac:dyDescent="0.25">
      <c r="A90" s="90">
        <v>90</v>
      </c>
      <c r="B90" s="90">
        <v>-1</v>
      </c>
      <c r="C90" s="90" t="s">
        <v>96</v>
      </c>
      <c r="D90" s="90" t="s">
        <v>63</v>
      </c>
      <c r="E90" s="90">
        <v>28</v>
      </c>
    </row>
    <row r="91" spans="1:5" x14ac:dyDescent="0.25">
      <c r="A91" s="90">
        <v>91</v>
      </c>
      <c r="B91" s="90">
        <v>-1</v>
      </c>
      <c r="C91" s="90" t="s">
        <v>97</v>
      </c>
      <c r="D91" s="90" t="s">
        <v>63</v>
      </c>
      <c r="E91" s="90">
        <v>29</v>
      </c>
    </row>
    <row r="92" spans="1:5" x14ac:dyDescent="0.25">
      <c r="A92" s="90">
        <v>92</v>
      </c>
      <c r="B92" s="90">
        <v>-1</v>
      </c>
      <c r="C92" s="90" t="s">
        <v>98</v>
      </c>
      <c r="D92" s="90" t="s">
        <v>63</v>
      </c>
      <c r="E92" s="90">
        <v>40</v>
      </c>
    </row>
    <row r="93" spans="1:5" x14ac:dyDescent="0.25">
      <c r="A93" s="90">
        <v>93</v>
      </c>
      <c r="B93" s="90">
        <v>-1</v>
      </c>
      <c r="C93" s="90" t="s">
        <v>99</v>
      </c>
      <c r="D93" s="90" t="s">
        <v>63</v>
      </c>
      <c r="E93" s="90">
        <v>41</v>
      </c>
    </row>
    <row r="94" spans="1:5" x14ac:dyDescent="0.25">
      <c r="A94" s="90">
        <v>94</v>
      </c>
      <c r="B94" s="90">
        <v>-1</v>
      </c>
      <c r="C94" s="90" t="s">
        <v>100</v>
      </c>
      <c r="D94" s="90" t="s">
        <v>63</v>
      </c>
      <c r="E94" s="90">
        <v>42</v>
      </c>
    </row>
    <row r="95" spans="1:5" x14ac:dyDescent="0.25">
      <c r="A95" s="90">
        <v>95</v>
      </c>
      <c r="B95" s="90">
        <v>-1</v>
      </c>
      <c r="C95" s="90" t="s">
        <v>101</v>
      </c>
      <c r="D95" s="90" t="s">
        <v>63</v>
      </c>
      <c r="E95" s="90">
        <v>43</v>
      </c>
    </row>
    <row r="96" spans="1:5" x14ac:dyDescent="0.25">
      <c r="A96" s="90">
        <v>96</v>
      </c>
      <c r="B96" s="90">
        <v>-1</v>
      </c>
      <c r="C96" s="90" t="s">
        <v>102</v>
      </c>
      <c r="D96" s="90" t="s">
        <v>63</v>
      </c>
      <c r="E96" s="90">
        <v>44</v>
      </c>
    </row>
    <row r="97" spans="1:5" x14ac:dyDescent="0.25">
      <c r="A97" s="90">
        <v>97</v>
      </c>
      <c r="B97" s="90">
        <v>-1</v>
      </c>
      <c r="C97" s="90" t="s">
        <v>103</v>
      </c>
      <c r="D97" s="90" t="s">
        <v>63</v>
      </c>
      <c r="E97" s="90">
        <v>45</v>
      </c>
    </row>
    <row r="98" spans="1:5" x14ac:dyDescent="0.25">
      <c r="A98" s="90">
        <v>98</v>
      </c>
      <c r="B98" s="90">
        <v>-1</v>
      </c>
      <c r="C98" s="90" t="s">
        <v>104</v>
      </c>
      <c r="D98" s="90" t="s">
        <v>63</v>
      </c>
      <c r="E98" s="90">
        <v>46</v>
      </c>
    </row>
    <row r="99" spans="1:5" x14ac:dyDescent="0.25">
      <c r="A99" s="90">
        <v>99</v>
      </c>
      <c r="B99" s="90">
        <v>-1</v>
      </c>
      <c r="C99" s="90" t="s">
        <v>105</v>
      </c>
      <c r="D99" s="90" t="s">
        <v>63</v>
      </c>
      <c r="E99" s="90">
        <v>47</v>
      </c>
    </row>
    <row r="100" spans="1:5" x14ac:dyDescent="0.25">
      <c r="A100" s="90">
        <v>100</v>
      </c>
      <c r="B100" s="90">
        <v>-1</v>
      </c>
      <c r="C100" s="90" t="s">
        <v>106</v>
      </c>
      <c r="D100" s="90" t="s">
        <v>63</v>
      </c>
      <c r="E100" s="90">
        <v>48</v>
      </c>
    </row>
    <row r="101" spans="1:5" x14ac:dyDescent="0.25">
      <c r="A101" s="90">
        <v>101</v>
      </c>
      <c r="B101" s="90">
        <v>-1</v>
      </c>
      <c r="C101" s="90" t="s">
        <v>107</v>
      </c>
      <c r="D101" s="90" t="s">
        <v>63</v>
      </c>
      <c r="E101" s="90">
        <v>49</v>
      </c>
    </row>
    <row r="102" spans="1:5" x14ac:dyDescent="0.25">
      <c r="A102" s="90">
        <v>102</v>
      </c>
      <c r="B102" s="90">
        <v>-1</v>
      </c>
      <c r="C102" s="90" t="s">
        <v>108</v>
      </c>
      <c r="D102" s="90" t="s">
        <v>63</v>
      </c>
      <c r="E102" s="90">
        <v>60</v>
      </c>
    </row>
    <row r="103" spans="1:5" x14ac:dyDescent="0.25">
      <c r="A103" s="90">
        <v>103</v>
      </c>
      <c r="B103" s="90">
        <v>-1</v>
      </c>
      <c r="C103" s="90" t="s">
        <v>109</v>
      </c>
      <c r="D103" s="90" t="s">
        <v>63</v>
      </c>
      <c r="E103" s="90">
        <v>51</v>
      </c>
    </row>
    <row r="104" spans="1:5" x14ac:dyDescent="0.25">
      <c r="A104" s="90">
        <v>104</v>
      </c>
      <c r="B104" s="90">
        <v>-1</v>
      </c>
      <c r="C104" s="90" t="s">
        <v>110</v>
      </c>
      <c r="D104" s="90" t="s">
        <v>63</v>
      </c>
      <c r="E104" s="90">
        <v>52</v>
      </c>
    </row>
    <row r="105" spans="1:5" x14ac:dyDescent="0.25">
      <c r="A105" s="90">
        <v>105</v>
      </c>
      <c r="B105" s="90">
        <v>-1</v>
      </c>
      <c r="C105" s="90" t="s">
        <v>111</v>
      </c>
      <c r="D105" s="90" t="s">
        <v>63</v>
      </c>
      <c r="E105" s="90">
        <v>63</v>
      </c>
    </row>
    <row r="106" spans="1:5" x14ac:dyDescent="0.25">
      <c r="A106" s="90">
        <v>106</v>
      </c>
      <c r="B106" s="90">
        <v>-1</v>
      </c>
      <c r="C106" s="90" t="s">
        <v>112</v>
      </c>
      <c r="D106" s="90" t="s">
        <v>63</v>
      </c>
      <c r="E106" s="90">
        <v>54</v>
      </c>
    </row>
    <row r="107" spans="1:5" x14ac:dyDescent="0.25">
      <c r="A107" s="90">
        <v>107</v>
      </c>
      <c r="B107" s="90">
        <v>-1</v>
      </c>
      <c r="C107" s="90" t="s">
        <v>113</v>
      </c>
      <c r="D107" s="90" t="s">
        <v>63</v>
      </c>
      <c r="E107" s="90">
        <v>55</v>
      </c>
    </row>
    <row r="108" spans="1:5" x14ac:dyDescent="0.25">
      <c r="A108" s="90">
        <v>108</v>
      </c>
      <c r="B108" s="90">
        <v>-1</v>
      </c>
      <c r="C108" s="90" t="s">
        <v>114</v>
      </c>
      <c r="D108" s="90" t="s">
        <v>63</v>
      </c>
      <c r="E108" s="90">
        <v>56</v>
      </c>
    </row>
    <row r="109" spans="1:5" x14ac:dyDescent="0.25">
      <c r="A109" s="90">
        <v>109</v>
      </c>
      <c r="B109" s="90">
        <v>-1</v>
      </c>
      <c r="C109" s="90" t="s">
        <v>115</v>
      </c>
      <c r="D109" s="90" t="s">
        <v>63</v>
      </c>
      <c r="E109" s="90">
        <v>58</v>
      </c>
    </row>
    <row r="110" spans="1:5" x14ac:dyDescent="0.25">
      <c r="A110" s="90">
        <v>110</v>
      </c>
      <c r="B110" s="90">
        <v>-1</v>
      </c>
      <c r="C110" s="90" t="s">
        <v>116</v>
      </c>
      <c r="D110" s="90" t="s">
        <v>63</v>
      </c>
      <c r="E110" s="90">
        <v>57</v>
      </c>
    </row>
    <row r="111" spans="1:5" x14ac:dyDescent="0.25">
      <c r="A111" s="114">
        <v>111</v>
      </c>
      <c r="B111" s="114">
        <f>IFERROR(INDEX(Data!$A$2:$A$220, MATCH(C111, Data!$B$2:$B$220, 0)), -1)</f>
        <v>-1</v>
      </c>
      <c r="C111" s="114">
        <f>Line!B72</f>
        <v>0</v>
      </c>
      <c r="D111" s="114" t="s">
        <v>265</v>
      </c>
      <c r="E111" s="114">
        <v>1</v>
      </c>
    </row>
    <row r="112" spans="1:5" x14ac:dyDescent="0.25">
      <c r="A112" s="114">
        <v>112</v>
      </c>
      <c r="B112" s="114">
        <f>IFERROR(INDEX(Data!$A$2:$A$120, MATCH(C112, Data!$B$2:$B$120, 0)), -1)</f>
        <v>449</v>
      </c>
      <c r="C112" s="114">
        <f>Line!B73</f>
        <v>227</v>
      </c>
      <c r="D112" s="114" t="s">
        <v>265</v>
      </c>
      <c r="E112" s="114">
        <v>2</v>
      </c>
    </row>
    <row r="113" spans="1:5" x14ac:dyDescent="0.25">
      <c r="A113" s="114">
        <v>113</v>
      </c>
      <c r="B113" s="114">
        <f>IFERROR(INDEX(Data!$A$2:$A$120, MATCH(C113, Data!$B$2:$B$120, 0)), -1)</f>
        <v>477</v>
      </c>
      <c r="C113" s="114">
        <f>Line!B74</f>
        <v>226</v>
      </c>
      <c r="D113" s="114" t="s">
        <v>265</v>
      </c>
      <c r="E113" s="114">
        <v>3</v>
      </c>
    </row>
    <row r="114" spans="1:5" x14ac:dyDescent="0.25">
      <c r="A114" s="114">
        <v>114</v>
      </c>
      <c r="B114" s="114">
        <f>IFERROR(INDEX(Data!$A$2:$A$120, MATCH(C114, Data!$B$2:$B$120, 0)), -1)</f>
        <v>464</v>
      </c>
      <c r="C114" s="114">
        <f>Line!B75</f>
        <v>225</v>
      </c>
      <c r="D114" s="114" t="s">
        <v>265</v>
      </c>
      <c r="E114" s="114">
        <v>4</v>
      </c>
    </row>
    <row r="115" spans="1:5" x14ac:dyDescent="0.25">
      <c r="A115" s="114">
        <v>115</v>
      </c>
      <c r="B115" s="114">
        <f>IFERROR(INDEX(Data!$A$2:$A$120, MATCH(C115, Data!$B$2:$B$120, 0)), -1)</f>
        <v>450</v>
      </c>
      <c r="C115" s="114">
        <f>Line!B76</f>
        <v>224</v>
      </c>
      <c r="D115" s="114" t="s">
        <v>265</v>
      </c>
      <c r="E115" s="114">
        <v>5</v>
      </c>
    </row>
    <row r="116" spans="1:5" x14ac:dyDescent="0.25">
      <c r="A116" s="114">
        <v>116</v>
      </c>
      <c r="B116" s="114">
        <f>IFERROR(INDEX(Data!$A$2:$A$120, MATCH(C116, Data!$B$2:$B$120, 0)), -1)</f>
        <v>420</v>
      </c>
      <c r="C116" s="114">
        <f>Line!B77</f>
        <v>223</v>
      </c>
      <c r="D116" s="114" t="s">
        <v>265</v>
      </c>
      <c r="E116" s="114">
        <v>6</v>
      </c>
    </row>
    <row r="117" spans="1:5" x14ac:dyDescent="0.25">
      <c r="A117" s="114">
        <v>117</v>
      </c>
      <c r="B117" s="114">
        <f>IFERROR(INDEX(Data!$A$2:$A$120, MATCH(C117, Data!$B$2:$B$120, 0)), -1)</f>
        <v>445</v>
      </c>
      <c r="C117" s="114">
        <f>Line!B78</f>
        <v>222</v>
      </c>
      <c r="D117" s="114" t="s">
        <v>265</v>
      </c>
      <c r="E117" s="114">
        <v>7</v>
      </c>
    </row>
    <row r="118" spans="1:5" x14ac:dyDescent="0.25">
      <c r="A118" s="114">
        <v>118</v>
      </c>
      <c r="B118" s="114">
        <f>IFERROR(INDEX(Data!$A$2:$A$120, MATCH(C118, Data!$B$2:$B$120, 0)), -1)</f>
        <v>473</v>
      </c>
      <c r="C118" s="114">
        <f>Line!B79</f>
        <v>221</v>
      </c>
      <c r="D118" s="114" t="s">
        <v>265</v>
      </c>
      <c r="E118" s="114">
        <v>8</v>
      </c>
    </row>
    <row r="119" spans="1:5" x14ac:dyDescent="0.25">
      <c r="A119" s="114">
        <v>119</v>
      </c>
      <c r="B119" s="114">
        <f>IFERROR(INDEX(Data!$A$2:$A$120, MATCH(C119, Data!$B$2:$B$120, 0)), -1)</f>
        <v>478</v>
      </c>
      <c r="C119" s="114">
        <f>Line!B80</f>
        <v>220</v>
      </c>
      <c r="D119" s="114" t="s">
        <v>265</v>
      </c>
      <c r="E119" s="114">
        <v>9</v>
      </c>
    </row>
    <row r="120" spans="1:5" x14ac:dyDescent="0.25">
      <c r="A120" s="114">
        <v>120</v>
      </c>
      <c r="B120" s="114">
        <f>IFERROR(INDEX(Data!$A$2:$A$120, MATCH(C120, Data!$B$2:$B$120, 0)), -1)</f>
        <v>461</v>
      </c>
      <c r="C120" s="114">
        <f>Line!B81</f>
        <v>219</v>
      </c>
      <c r="D120" s="114" t="s">
        <v>265</v>
      </c>
      <c r="E120" s="114">
        <v>10</v>
      </c>
    </row>
    <row r="121" spans="1:5" x14ac:dyDescent="0.25">
      <c r="A121" s="114">
        <v>121</v>
      </c>
      <c r="B121" s="114">
        <f>IFERROR(INDEX(Data!$A$2:$A$120, MATCH(C121, Data!$B$2:$B$120, 0)), -1)</f>
        <v>479</v>
      </c>
      <c r="C121" s="113">
        <f>Layout!GJ98</f>
        <v>238</v>
      </c>
      <c r="D121" s="114" t="s">
        <v>265</v>
      </c>
      <c r="E121" s="114">
        <v>11</v>
      </c>
    </row>
    <row r="122" spans="1:5" x14ac:dyDescent="0.25">
      <c r="A122" s="114">
        <v>122</v>
      </c>
      <c r="B122" s="114">
        <f>IFERROR(INDEX(Data!$A$2:$A$120, MATCH(C122, Data!$B$2:$B$120, 0)), -1)</f>
        <v>481</v>
      </c>
      <c r="C122" s="114">
        <f>Line!B83</f>
        <v>236</v>
      </c>
      <c r="D122" s="114" t="s">
        <v>265</v>
      </c>
      <c r="E122" s="114">
        <v>12</v>
      </c>
    </row>
    <row r="123" spans="1:5" x14ac:dyDescent="0.25">
      <c r="A123" s="114">
        <v>123</v>
      </c>
      <c r="B123" s="114">
        <f>IFERROR(INDEX(Data!$A$2:$A$120, MATCH(C123, Data!$B$2:$B$120, 0)), -1)</f>
        <v>469</v>
      </c>
      <c r="C123" s="114">
        <f>Line!B84</f>
        <v>240</v>
      </c>
      <c r="D123" s="114" t="s">
        <v>265</v>
      </c>
      <c r="E123" s="114">
        <v>13</v>
      </c>
    </row>
    <row r="124" spans="1:5" x14ac:dyDescent="0.25">
      <c r="A124" s="114">
        <v>124</v>
      </c>
      <c r="B124" s="114">
        <f>IFERROR(INDEX(Data!$A$2:$A$130, MATCH(C124, Data!$B$2:$B$130, 0)), -1)</f>
        <v>462</v>
      </c>
      <c r="C124" s="114">
        <f>Line!B85</f>
        <v>241</v>
      </c>
      <c r="D124" s="114" t="s">
        <v>265</v>
      </c>
      <c r="E124" s="114">
        <v>14</v>
      </c>
    </row>
    <row r="125" spans="1:5" x14ac:dyDescent="0.25">
      <c r="A125" s="114">
        <v>125</v>
      </c>
      <c r="B125" s="114">
        <f>IFERROR(INDEX(Data!$A$2:$A$120, MATCH(C125, Data!$B$2:$B$120, 0)), -1)</f>
        <v>454</v>
      </c>
      <c r="C125" s="114">
        <f>Layout!GD98</f>
        <v>237</v>
      </c>
      <c r="D125" s="114" t="s">
        <v>265</v>
      </c>
      <c r="E125" s="114">
        <v>15</v>
      </c>
    </row>
    <row r="126" spans="1:5" x14ac:dyDescent="0.25">
      <c r="A126" s="114">
        <v>126</v>
      </c>
      <c r="B126" s="114">
        <f>IFERROR(INDEX(Data!$A$2:$A$120, MATCH(C126, Data!$B$2:$B$120, 0)), -1)</f>
        <v>463</v>
      </c>
      <c r="C126" s="114">
        <f>Layout!FY98</f>
        <v>239</v>
      </c>
      <c r="D126" s="114" t="s">
        <v>265</v>
      </c>
      <c r="E126" s="114">
        <v>16</v>
      </c>
    </row>
    <row r="127" spans="1:5" x14ac:dyDescent="0.25">
      <c r="A127" s="114">
        <v>127</v>
      </c>
      <c r="B127" s="114">
        <f>IFERROR(INDEX(Data!$A$2:$A$120, MATCH(C127, Data!$B$2:$B$120, 0)), -1)</f>
        <v>-1</v>
      </c>
      <c r="C127" s="114">
        <f>Layout!FR98</f>
        <v>0</v>
      </c>
      <c r="D127" s="114" t="s">
        <v>265</v>
      </c>
      <c r="E127" s="114">
        <v>17</v>
      </c>
    </row>
    <row r="128" spans="1:5" x14ac:dyDescent="0.25">
      <c r="A128" s="90">
        <v>128</v>
      </c>
      <c r="B128" s="90">
        <v>-1</v>
      </c>
      <c r="C128" s="90" t="s">
        <v>118</v>
      </c>
      <c r="D128" s="90" t="s">
        <v>117</v>
      </c>
      <c r="E128" s="90">
        <v>17</v>
      </c>
    </row>
    <row r="129" spans="1:5" x14ac:dyDescent="0.25">
      <c r="A129" s="90">
        <v>129</v>
      </c>
      <c r="B129" s="90">
        <v>-1</v>
      </c>
      <c r="C129" s="90" t="s">
        <v>119</v>
      </c>
      <c r="D129" s="90" t="s">
        <v>117</v>
      </c>
      <c r="E129" s="90">
        <v>27</v>
      </c>
    </row>
    <row r="130" spans="1:5" x14ac:dyDescent="0.25">
      <c r="A130" s="90">
        <v>130</v>
      </c>
      <c r="B130" s="90">
        <v>-1</v>
      </c>
      <c r="C130" s="90" t="s">
        <v>120</v>
      </c>
      <c r="D130" s="90" t="s">
        <v>117</v>
      </c>
      <c r="E130" s="90">
        <v>26</v>
      </c>
    </row>
    <row r="131" spans="1:5" x14ac:dyDescent="0.25">
      <c r="A131" s="90">
        <v>131</v>
      </c>
      <c r="B131" s="90">
        <v>-1</v>
      </c>
      <c r="C131" s="90" t="s">
        <v>121</v>
      </c>
      <c r="D131" s="90" t="s">
        <v>117</v>
      </c>
      <c r="E131" s="90">
        <v>25</v>
      </c>
    </row>
    <row r="132" spans="1:5" x14ac:dyDescent="0.25">
      <c r="A132" s="90">
        <v>132</v>
      </c>
      <c r="B132" s="90">
        <v>-1</v>
      </c>
      <c r="C132" s="90" t="s">
        <v>122</v>
      </c>
      <c r="D132" s="90" t="s">
        <v>117</v>
      </c>
      <c r="E132" s="90">
        <v>24</v>
      </c>
    </row>
    <row r="133" spans="1:5" x14ac:dyDescent="0.25">
      <c r="A133" s="90">
        <v>133</v>
      </c>
      <c r="B133" s="90">
        <v>-1</v>
      </c>
      <c r="C133" s="90" t="s">
        <v>123</v>
      </c>
      <c r="D133" s="90" t="s">
        <v>117</v>
      </c>
      <c r="E133" s="90">
        <v>23</v>
      </c>
    </row>
    <row r="134" spans="1:5" x14ac:dyDescent="0.25">
      <c r="A134" s="90">
        <v>134</v>
      </c>
      <c r="B134" s="90">
        <v>-1</v>
      </c>
      <c r="C134" s="90" t="s">
        <v>124</v>
      </c>
      <c r="D134" s="90" t="s">
        <v>117</v>
      </c>
      <c r="E134" s="90">
        <v>22</v>
      </c>
    </row>
    <row r="135" spans="1:5" x14ac:dyDescent="0.25">
      <c r="A135" s="90">
        <v>135</v>
      </c>
      <c r="B135" s="90">
        <v>-1</v>
      </c>
      <c r="C135" s="90" t="s">
        <v>125</v>
      </c>
      <c r="D135" s="90" t="s">
        <v>117</v>
      </c>
      <c r="E135" s="90">
        <v>21</v>
      </c>
    </row>
    <row r="136" spans="1:5" x14ac:dyDescent="0.25">
      <c r="A136" s="90">
        <v>136</v>
      </c>
      <c r="B136" s="90">
        <v>-1</v>
      </c>
      <c r="C136" s="90" t="s">
        <v>126</v>
      </c>
      <c r="D136" s="90" t="s">
        <v>117</v>
      </c>
      <c r="E136" s="90">
        <v>20</v>
      </c>
    </row>
    <row r="137" spans="1:5" x14ac:dyDescent="0.25">
      <c r="A137" s="90">
        <v>137</v>
      </c>
      <c r="B137" s="90">
        <v>-1</v>
      </c>
      <c r="C137" s="90" t="s">
        <v>127</v>
      </c>
      <c r="D137" s="90" t="s">
        <v>117</v>
      </c>
      <c r="E137" s="90">
        <v>19</v>
      </c>
    </row>
    <row r="138" spans="1:5" x14ac:dyDescent="0.25">
      <c r="A138" s="90">
        <v>138</v>
      </c>
      <c r="B138" s="90">
        <v>-1</v>
      </c>
      <c r="C138" s="90" t="s">
        <v>128</v>
      </c>
      <c r="D138" s="90" t="s">
        <v>117</v>
      </c>
      <c r="E138" s="90">
        <v>18</v>
      </c>
    </row>
    <row r="139" spans="1:5" x14ac:dyDescent="0.25">
      <c r="A139" s="90">
        <v>139</v>
      </c>
      <c r="B139" s="90">
        <v>-1</v>
      </c>
      <c r="C139" s="90" t="s">
        <v>129</v>
      </c>
      <c r="D139" s="90" t="s">
        <v>117</v>
      </c>
      <c r="E139" s="90">
        <v>42</v>
      </c>
    </row>
    <row r="140" spans="1:5" x14ac:dyDescent="0.25">
      <c r="A140" s="90">
        <v>140</v>
      </c>
      <c r="B140" s="90">
        <v>-1</v>
      </c>
      <c r="C140" s="90" t="s">
        <v>130</v>
      </c>
      <c r="D140" s="90" t="s">
        <v>117</v>
      </c>
      <c r="E140" s="90">
        <v>36</v>
      </c>
    </row>
    <row r="141" spans="1:5" x14ac:dyDescent="0.25">
      <c r="A141" s="90">
        <v>141</v>
      </c>
      <c r="B141" s="90">
        <v>-1</v>
      </c>
      <c r="C141" s="90" t="s">
        <v>131</v>
      </c>
      <c r="D141" s="90" t="s">
        <v>117</v>
      </c>
      <c r="E141" s="90">
        <v>52</v>
      </c>
    </row>
    <row r="142" spans="1:5" x14ac:dyDescent="0.25">
      <c r="A142" s="90">
        <v>142</v>
      </c>
      <c r="B142" s="90">
        <v>-1</v>
      </c>
      <c r="C142" s="90" t="s">
        <v>132</v>
      </c>
      <c r="D142" s="90" t="s">
        <v>117</v>
      </c>
      <c r="E142" s="90">
        <v>53</v>
      </c>
    </row>
    <row r="143" spans="1:5" x14ac:dyDescent="0.25">
      <c r="A143" s="90">
        <v>143</v>
      </c>
      <c r="B143" s="90">
        <v>-1</v>
      </c>
      <c r="C143" s="90" t="s">
        <v>133</v>
      </c>
      <c r="D143" s="90" t="s">
        <v>117</v>
      </c>
      <c r="E143" s="90">
        <v>33</v>
      </c>
    </row>
    <row r="144" spans="1:5" x14ac:dyDescent="0.25">
      <c r="A144" s="90">
        <v>144</v>
      </c>
      <c r="B144" s="90">
        <v>-1</v>
      </c>
      <c r="C144" s="90" t="s">
        <v>134</v>
      </c>
      <c r="D144" s="90" t="s">
        <v>117</v>
      </c>
      <c r="E144" s="90">
        <v>55</v>
      </c>
    </row>
    <row r="145" spans="1:5" x14ac:dyDescent="0.25">
      <c r="A145" s="90">
        <v>145</v>
      </c>
      <c r="B145" s="90">
        <v>-1</v>
      </c>
      <c r="C145" s="90" t="s">
        <v>135</v>
      </c>
      <c r="D145" s="90" t="s">
        <v>117</v>
      </c>
      <c r="E145" s="90">
        <v>56</v>
      </c>
    </row>
    <row r="146" spans="1:5" x14ac:dyDescent="0.25">
      <c r="A146" s="90">
        <v>146</v>
      </c>
      <c r="B146" s="90">
        <v>-1</v>
      </c>
      <c r="C146" s="90" t="s">
        <v>136</v>
      </c>
      <c r="D146" s="90" t="s">
        <v>117</v>
      </c>
      <c r="E146" s="90">
        <v>57</v>
      </c>
    </row>
    <row r="147" spans="1:5" x14ac:dyDescent="0.25">
      <c r="A147" s="90">
        <v>147</v>
      </c>
      <c r="B147" s="90">
        <v>-1</v>
      </c>
      <c r="C147" s="90" t="s">
        <v>137</v>
      </c>
      <c r="D147" s="90" t="s">
        <v>117</v>
      </c>
      <c r="E147" s="90">
        <v>30</v>
      </c>
    </row>
    <row r="148" spans="1:5" x14ac:dyDescent="0.25">
      <c r="A148" s="90">
        <v>148</v>
      </c>
      <c r="B148" s="90">
        <v>-1</v>
      </c>
      <c r="C148" s="90" t="s">
        <v>138</v>
      </c>
      <c r="D148" s="90" t="s">
        <v>117</v>
      </c>
      <c r="E148" s="90">
        <v>32</v>
      </c>
    </row>
    <row r="149" spans="1:5" x14ac:dyDescent="0.25">
      <c r="A149" s="90">
        <v>149</v>
      </c>
      <c r="B149" s="90">
        <v>-1</v>
      </c>
      <c r="C149" s="90" t="s">
        <v>139</v>
      </c>
      <c r="D149" s="90" t="s">
        <v>117</v>
      </c>
      <c r="E149" s="90">
        <v>43</v>
      </c>
    </row>
    <row r="150" spans="1:5" x14ac:dyDescent="0.25">
      <c r="A150" s="90">
        <v>150</v>
      </c>
      <c r="B150" s="90">
        <v>-1</v>
      </c>
      <c r="C150" s="90" t="s">
        <v>140</v>
      </c>
      <c r="D150" s="90" t="s">
        <v>117</v>
      </c>
      <c r="E150" s="90">
        <v>44</v>
      </c>
    </row>
    <row r="151" spans="1:5" x14ac:dyDescent="0.25">
      <c r="A151" s="90">
        <v>151</v>
      </c>
      <c r="B151" s="90">
        <v>-1</v>
      </c>
      <c r="C151" s="90" t="s">
        <v>141</v>
      </c>
      <c r="D151" s="90" t="s">
        <v>117</v>
      </c>
      <c r="E151" s="90">
        <v>45</v>
      </c>
    </row>
    <row r="152" spans="1:5" x14ac:dyDescent="0.25">
      <c r="A152" s="90">
        <v>152</v>
      </c>
      <c r="B152" s="90">
        <v>-1</v>
      </c>
      <c r="C152" s="90" t="s">
        <v>142</v>
      </c>
      <c r="D152" s="90" t="s">
        <v>117</v>
      </c>
      <c r="E152" s="90">
        <v>46</v>
      </c>
    </row>
    <row r="153" spans="1:5" x14ac:dyDescent="0.25">
      <c r="A153" s="90">
        <v>153</v>
      </c>
      <c r="B153" s="90">
        <v>-1</v>
      </c>
      <c r="C153" s="90" t="s">
        <v>143</v>
      </c>
      <c r="D153" s="90" t="s">
        <v>117</v>
      </c>
      <c r="E153" s="90">
        <v>47</v>
      </c>
    </row>
    <row r="154" spans="1:5" x14ac:dyDescent="0.25">
      <c r="A154" s="90">
        <v>154</v>
      </c>
      <c r="B154" s="90">
        <v>-1</v>
      </c>
      <c r="C154" s="90" t="s">
        <v>144</v>
      </c>
      <c r="D154" s="90" t="s">
        <v>117</v>
      </c>
      <c r="E154" s="90">
        <v>48</v>
      </c>
    </row>
    <row r="155" spans="1:5" x14ac:dyDescent="0.25">
      <c r="A155" s="90">
        <v>155</v>
      </c>
      <c r="B155" s="90">
        <v>-1</v>
      </c>
      <c r="C155" s="90" t="s">
        <v>145</v>
      </c>
      <c r="D155" s="90" t="s">
        <v>117</v>
      </c>
      <c r="E155" s="90">
        <v>49</v>
      </c>
    </row>
    <row r="156" spans="1:5" x14ac:dyDescent="0.25">
      <c r="A156" s="90">
        <v>156</v>
      </c>
      <c r="B156" s="90">
        <v>-1</v>
      </c>
      <c r="C156" s="90" t="s">
        <v>146</v>
      </c>
      <c r="D156" s="90" t="s">
        <v>117</v>
      </c>
      <c r="E156" s="90">
        <v>35</v>
      </c>
    </row>
    <row r="157" spans="1:5" x14ac:dyDescent="0.25">
      <c r="A157" s="90">
        <v>157</v>
      </c>
      <c r="B157" s="90">
        <v>-1</v>
      </c>
      <c r="C157" s="90" t="s">
        <v>147</v>
      </c>
      <c r="D157" s="90" t="s">
        <v>117</v>
      </c>
      <c r="E157" s="90">
        <v>37</v>
      </c>
    </row>
    <row r="158" spans="1:5" x14ac:dyDescent="0.25">
      <c r="A158" s="90">
        <v>158</v>
      </c>
      <c r="B158" s="90">
        <v>-1</v>
      </c>
      <c r="C158" s="90" t="s">
        <v>148</v>
      </c>
      <c r="D158" s="90" t="s">
        <v>117</v>
      </c>
      <c r="E158" s="90">
        <v>36</v>
      </c>
    </row>
    <row r="159" spans="1:5" x14ac:dyDescent="0.25">
      <c r="A159" s="90">
        <v>159</v>
      </c>
      <c r="B159" s="90">
        <v>-1</v>
      </c>
      <c r="C159" s="90" t="s">
        <v>149</v>
      </c>
      <c r="D159" s="90" t="s">
        <v>117</v>
      </c>
      <c r="E159" s="90">
        <v>34</v>
      </c>
    </row>
    <row r="160" spans="1:5" x14ac:dyDescent="0.25">
      <c r="A160" s="90">
        <v>160</v>
      </c>
      <c r="B160" s="90">
        <v>-1</v>
      </c>
      <c r="C160" s="90" t="s">
        <v>150</v>
      </c>
      <c r="D160" s="90" t="s">
        <v>117</v>
      </c>
      <c r="E160" s="90">
        <v>28</v>
      </c>
    </row>
    <row r="161" spans="1:5" x14ac:dyDescent="0.25">
      <c r="A161" s="90">
        <v>161</v>
      </c>
      <c r="B161" s="90">
        <v>-1</v>
      </c>
      <c r="C161" s="90" t="s">
        <v>151</v>
      </c>
      <c r="D161" s="90" t="s">
        <v>117</v>
      </c>
      <c r="E161" s="90">
        <v>-1</v>
      </c>
    </row>
    <row r="162" spans="1:5" x14ac:dyDescent="0.25">
      <c r="A162" s="90">
        <v>162</v>
      </c>
      <c r="B162" s="90">
        <v>-1</v>
      </c>
      <c r="C162" s="90" t="s">
        <v>152</v>
      </c>
      <c r="D162" s="90" t="s">
        <v>117</v>
      </c>
      <c r="E162" s="90">
        <v>-1</v>
      </c>
    </row>
    <row r="163" spans="1:5" x14ac:dyDescent="0.25">
      <c r="A163" s="90">
        <v>163</v>
      </c>
      <c r="B163" s="90">
        <v>-1</v>
      </c>
      <c r="C163" s="90" t="s">
        <v>153</v>
      </c>
      <c r="D163" s="90" t="s">
        <v>117</v>
      </c>
      <c r="E163" s="90">
        <v>-1</v>
      </c>
    </row>
    <row r="164" spans="1:5" x14ac:dyDescent="0.25">
      <c r="A164" s="90">
        <v>164</v>
      </c>
      <c r="B164" s="90">
        <v>-1</v>
      </c>
      <c r="C164" s="90" t="s">
        <v>154</v>
      </c>
      <c r="D164" s="90" t="s">
        <v>117</v>
      </c>
      <c r="E164" s="90">
        <v>-1</v>
      </c>
    </row>
    <row r="165" spans="1:5" x14ac:dyDescent="0.25">
      <c r="A165" s="90">
        <v>165</v>
      </c>
      <c r="B165" s="90">
        <v>-1</v>
      </c>
      <c r="C165" s="90" t="s">
        <v>155</v>
      </c>
      <c r="D165" s="90" t="s">
        <v>117</v>
      </c>
      <c r="E165" s="90">
        <v>-1</v>
      </c>
    </row>
    <row r="166" spans="1:5" x14ac:dyDescent="0.25">
      <c r="A166" s="90">
        <v>166</v>
      </c>
      <c r="B166" s="90">
        <v>-1</v>
      </c>
      <c r="C166" s="90" t="s">
        <v>156</v>
      </c>
      <c r="D166" s="90" t="s">
        <v>117</v>
      </c>
      <c r="E166" s="90">
        <v>-1</v>
      </c>
    </row>
    <row r="167" spans="1:5" x14ac:dyDescent="0.25">
      <c r="A167" s="90">
        <v>167</v>
      </c>
      <c r="B167" s="90">
        <v>-1</v>
      </c>
      <c r="C167" s="90" t="s">
        <v>157</v>
      </c>
      <c r="D167" s="90" t="s">
        <v>117</v>
      </c>
      <c r="E167" s="90">
        <v>-1</v>
      </c>
    </row>
    <row r="168" spans="1:5" x14ac:dyDescent="0.25">
      <c r="A168" s="90">
        <v>168</v>
      </c>
      <c r="B168" s="90">
        <v>-1</v>
      </c>
      <c r="C168" s="90" t="s">
        <v>158</v>
      </c>
      <c r="D168" s="90" t="s">
        <v>117</v>
      </c>
      <c r="E168" s="90">
        <v>-1</v>
      </c>
    </row>
    <row r="169" spans="1:5" x14ac:dyDescent="0.25">
      <c r="A169" s="90">
        <v>169</v>
      </c>
      <c r="B169" s="90">
        <v>-1</v>
      </c>
      <c r="C169" s="90" t="s">
        <v>159</v>
      </c>
      <c r="D169" s="90" t="s">
        <v>117</v>
      </c>
      <c r="E169" s="90">
        <v>-1</v>
      </c>
    </row>
    <row r="170" spans="1:5" x14ac:dyDescent="0.25">
      <c r="A170" s="90">
        <v>170</v>
      </c>
      <c r="B170" s="90">
        <v>-1</v>
      </c>
      <c r="C170" s="90" t="s">
        <v>160</v>
      </c>
      <c r="D170" s="90" t="s">
        <v>117</v>
      </c>
      <c r="E170" s="90">
        <v>-1</v>
      </c>
    </row>
    <row r="171" spans="1:5" x14ac:dyDescent="0.25">
      <c r="A171" s="90">
        <v>171</v>
      </c>
      <c r="B171" s="90">
        <v>-1</v>
      </c>
      <c r="C171" s="90" t="s">
        <v>161</v>
      </c>
      <c r="D171" s="90" t="s">
        <v>48</v>
      </c>
      <c r="E171" s="90">
        <v>44</v>
      </c>
    </row>
    <row r="172" spans="1:5" x14ac:dyDescent="0.25">
      <c r="A172" s="90">
        <v>172</v>
      </c>
      <c r="B172" s="90">
        <v>-1</v>
      </c>
      <c r="C172" s="90" t="s">
        <v>162</v>
      </c>
      <c r="D172" s="90" t="s">
        <v>48</v>
      </c>
      <c r="E172" s="90">
        <v>47</v>
      </c>
    </row>
    <row r="173" spans="1:5" x14ac:dyDescent="0.25">
      <c r="A173" s="90">
        <v>173</v>
      </c>
      <c r="B173" s="90">
        <v>-1</v>
      </c>
      <c r="C173" s="90" t="s">
        <v>163</v>
      </c>
      <c r="D173" s="90" t="s">
        <v>48</v>
      </c>
      <c r="E173" s="90">
        <v>36</v>
      </c>
    </row>
    <row r="174" spans="1:5" x14ac:dyDescent="0.25">
      <c r="A174" s="90">
        <v>174</v>
      </c>
      <c r="B174" s="90">
        <v>-1</v>
      </c>
      <c r="C174" s="90" t="s">
        <v>164</v>
      </c>
      <c r="D174" s="90" t="s">
        <v>48</v>
      </c>
      <c r="E174" s="90">
        <v>20</v>
      </c>
    </row>
    <row r="175" spans="1:5" x14ac:dyDescent="0.25">
      <c r="A175" s="90">
        <v>175</v>
      </c>
      <c r="B175" s="90">
        <v>-1</v>
      </c>
      <c r="C175" s="90" t="s">
        <v>165</v>
      </c>
      <c r="D175" s="90" t="s">
        <v>63</v>
      </c>
      <c r="E175" s="90">
        <v>-1</v>
      </c>
    </row>
    <row r="176" spans="1:5" x14ac:dyDescent="0.25">
      <c r="A176" s="90">
        <v>176</v>
      </c>
      <c r="B176" s="90">
        <v>-1</v>
      </c>
      <c r="C176" s="90" t="s">
        <v>166</v>
      </c>
      <c r="D176" s="90" t="s">
        <v>63</v>
      </c>
      <c r="E176" s="90">
        <v>-1</v>
      </c>
    </row>
    <row r="177" spans="1:5" x14ac:dyDescent="0.25">
      <c r="A177" s="90">
        <v>177</v>
      </c>
      <c r="B177" s="90">
        <v>-1</v>
      </c>
      <c r="C177" s="90" t="s">
        <v>167</v>
      </c>
      <c r="D177" s="90" t="s">
        <v>48</v>
      </c>
      <c r="E177" s="90">
        <v>49</v>
      </c>
    </row>
    <row r="178" spans="1:5" x14ac:dyDescent="0.25">
      <c r="A178" s="90">
        <v>178</v>
      </c>
      <c r="B178" s="90">
        <v>-1</v>
      </c>
      <c r="C178" s="90" t="s">
        <v>168</v>
      </c>
      <c r="D178" s="90" t="s">
        <v>48</v>
      </c>
      <c r="E178" s="90">
        <v>49</v>
      </c>
    </row>
    <row r="179" spans="1:5" x14ac:dyDescent="0.25">
      <c r="A179" s="90">
        <v>179</v>
      </c>
      <c r="B179" s="90">
        <v>-1</v>
      </c>
      <c r="C179" s="90" t="s">
        <v>168</v>
      </c>
      <c r="D179" s="90" t="s">
        <v>48</v>
      </c>
      <c r="E179" s="90">
        <v>49</v>
      </c>
    </row>
    <row r="180" spans="1:5" x14ac:dyDescent="0.25">
      <c r="A180" s="90">
        <v>180</v>
      </c>
      <c r="B180" s="90">
        <v>-1</v>
      </c>
      <c r="C180" s="90" t="s">
        <v>168</v>
      </c>
      <c r="D180" s="90" t="s">
        <v>48</v>
      </c>
      <c r="E180" s="90">
        <v>49</v>
      </c>
    </row>
    <row r="181" spans="1:5" x14ac:dyDescent="0.25">
      <c r="A181" s="90">
        <v>181</v>
      </c>
      <c r="B181" s="90">
        <v>-1</v>
      </c>
      <c r="C181" s="90" t="s">
        <v>168</v>
      </c>
      <c r="D181" s="90" t="s">
        <v>48</v>
      </c>
      <c r="E181" s="90">
        <v>49</v>
      </c>
    </row>
    <row r="182" spans="1:5" x14ac:dyDescent="0.25">
      <c r="A182" s="90">
        <v>182</v>
      </c>
      <c r="B182" s="90">
        <v>-1</v>
      </c>
      <c r="C182" s="90" t="s">
        <v>168</v>
      </c>
      <c r="D182" s="90" t="s">
        <v>48</v>
      </c>
      <c r="E182" s="90">
        <v>49</v>
      </c>
    </row>
    <row r="183" spans="1:5" x14ac:dyDescent="0.25">
      <c r="A183" s="90">
        <v>183</v>
      </c>
      <c r="B183" s="90">
        <v>-1</v>
      </c>
      <c r="C183" s="90" t="s">
        <v>168</v>
      </c>
      <c r="D183" s="90" t="s">
        <v>48</v>
      </c>
      <c r="E183" s="90">
        <v>49</v>
      </c>
    </row>
    <row r="184" spans="1:5" x14ac:dyDescent="0.25">
      <c r="A184" s="90">
        <v>184</v>
      </c>
      <c r="B184" s="90">
        <v>-1</v>
      </c>
      <c r="C184" s="90" t="s">
        <v>168</v>
      </c>
      <c r="D184" s="90" t="s">
        <v>48</v>
      </c>
      <c r="E184" s="90">
        <v>49</v>
      </c>
    </row>
    <row r="185" spans="1:5" x14ac:dyDescent="0.25">
      <c r="A185" s="90">
        <v>186</v>
      </c>
      <c r="B185" s="90">
        <v>-1</v>
      </c>
      <c r="C185" s="90" t="s">
        <v>168</v>
      </c>
      <c r="D185" s="90" t="s">
        <v>48</v>
      </c>
      <c r="E185" s="90">
        <v>49</v>
      </c>
    </row>
    <row r="186" spans="1:5" x14ac:dyDescent="0.25">
      <c r="A186" s="90">
        <v>187</v>
      </c>
      <c r="B186" s="90">
        <v>-1</v>
      </c>
      <c r="C186" s="90" t="s">
        <v>168</v>
      </c>
      <c r="D186" s="90" t="s">
        <v>48</v>
      </c>
      <c r="E186" s="90">
        <v>49</v>
      </c>
    </row>
    <row r="187" spans="1:5" x14ac:dyDescent="0.25">
      <c r="A187" s="90">
        <v>188</v>
      </c>
      <c r="B187" s="90">
        <v>-1</v>
      </c>
      <c r="C187" s="90" t="s">
        <v>168</v>
      </c>
      <c r="D187" s="90" t="s">
        <v>48</v>
      </c>
      <c r="E187" s="90">
        <v>49</v>
      </c>
    </row>
    <row r="188" spans="1:5" x14ac:dyDescent="0.25">
      <c r="A188" s="90">
        <v>189</v>
      </c>
      <c r="B188" s="90">
        <v>-1</v>
      </c>
      <c r="C188" s="90" t="s">
        <v>168</v>
      </c>
      <c r="D188" s="90" t="s">
        <v>48</v>
      </c>
      <c r="E188" s="90">
        <v>49</v>
      </c>
    </row>
    <row r="189" spans="1:5" x14ac:dyDescent="0.25">
      <c r="A189" s="90">
        <v>190</v>
      </c>
      <c r="B189" s="90">
        <v>-1</v>
      </c>
      <c r="C189" s="90" t="s">
        <v>168</v>
      </c>
      <c r="D189" s="90" t="s">
        <v>48</v>
      </c>
      <c r="E189" s="90">
        <v>49</v>
      </c>
    </row>
    <row r="190" spans="1:5" x14ac:dyDescent="0.25">
      <c r="A190" s="90">
        <v>191</v>
      </c>
      <c r="B190" s="90">
        <v>-1</v>
      </c>
      <c r="C190" s="90" t="s">
        <v>168</v>
      </c>
      <c r="D190" s="90" t="s">
        <v>48</v>
      </c>
      <c r="E190" s="90">
        <v>49</v>
      </c>
    </row>
    <row r="191" spans="1:5" x14ac:dyDescent="0.25">
      <c r="A191" s="90">
        <v>192</v>
      </c>
      <c r="B191" s="90">
        <v>-1</v>
      </c>
      <c r="C191" s="90" t="s">
        <v>168</v>
      </c>
      <c r="D191" s="90" t="s">
        <v>48</v>
      </c>
      <c r="E191" s="90">
        <v>49</v>
      </c>
    </row>
    <row r="192" spans="1:5" x14ac:dyDescent="0.25">
      <c r="A192" s="90">
        <v>193</v>
      </c>
      <c r="B192" s="90">
        <v>-1</v>
      </c>
      <c r="C192" s="90" t="s">
        <v>168</v>
      </c>
      <c r="D192" s="90" t="s">
        <v>48</v>
      </c>
      <c r="E192" s="90">
        <v>49</v>
      </c>
    </row>
    <row r="193" spans="1:5" x14ac:dyDescent="0.25">
      <c r="A193" s="90">
        <v>194</v>
      </c>
      <c r="B193" s="90">
        <v>-1</v>
      </c>
      <c r="C193" s="90" t="s">
        <v>168</v>
      </c>
      <c r="D193" s="90" t="s">
        <v>48</v>
      </c>
      <c r="E193" s="90">
        <v>49</v>
      </c>
    </row>
    <row r="194" spans="1:5" x14ac:dyDescent="0.25">
      <c r="A194" s="90">
        <v>195</v>
      </c>
      <c r="B194" s="90">
        <v>-1</v>
      </c>
      <c r="C194" s="90" t="s">
        <v>168</v>
      </c>
      <c r="D194" s="90" t="s">
        <v>48</v>
      </c>
      <c r="E194" s="90">
        <v>49</v>
      </c>
    </row>
    <row r="195" spans="1:5" x14ac:dyDescent="0.25">
      <c r="A195" s="90">
        <v>196</v>
      </c>
      <c r="B195" s="90">
        <v>-1</v>
      </c>
      <c r="C195" s="90">
        <v>710</v>
      </c>
      <c r="D195" s="90" t="s">
        <v>62</v>
      </c>
      <c r="E195" s="90">
        <v>25</v>
      </c>
    </row>
    <row r="196" spans="1:5" x14ac:dyDescent="0.25">
      <c r="A196" s="90">
        <v>197</v>
      </c>
      <c r="B196" s="90">
        <v>-1</v>
      </c>
      <c r="C196" s="90">
        <v>711</v>
      </c>
      <c r="D196" s="90" t="s">
        <v>62</v>
      </c>
      <c r="E196" s="90">
        <v>26</v>
      </c>
    </row>
    <row r="197" spans="1:5" x14ac:dyDescent="0.25">
      <c r="A197" s="90">
        <v>198</v>
      </c>
      <c r="B197" s="90">
        <v>-1</v>
      </c>
      <c r="C197" s="90">
        <v>712</v>
      </c>
      <c r="D197" s="90" t="s">
        <v>62</v>
      </c>
      <c r="E197" s="90">
        <v>27</v>
      </c>
    </row>
    <row r="198" spans="1:5" x14ac:dyDescent="0.25">
      <c r="A198" s="90">
        <v>199</v>
      </c>
      <c r="B198" s="90">
        <v>-1</v>
      </c>
      <c r="C198" s="90">
        <v>713</v>
      </c>
      <c r="D198" s="90" t="s">
        <v>62</v>
      </c>
      <c r="E198" s="90">
        <v>28</v>
      </c>
    </row>
    <row r="199" spans="1:5" x14ac:dyDescent="0.25">
      <c r="A199" s="90">
        <v>200</v>
      </c>
      <c r="B199" s="90">
        <v>-1</v>
      </c>
      <c r="C199" s="90">
        <v>714</v>
      </c>
      <c r="D199" s="90" t="s">
        <v>62</v>
      </c>
      <c r="E199" s="90">
        <v>29</v>
      </c>
    </row>
    <row r="200" spans="1:5" x14ac:dyDescent="0.25">
      <c r="A200" s="90">
        <v>201</v>
      </c>
      <c r="B200" s="90">
        <v>-1</v>
      </c>
      <c r="C200" s="90">
        <v>715</v>
      </c>
      <c r="D200" s="90" t="s">
        <v>62</v>
      </c>
      <c r="E200" s="90">
        <v>30</v>
      </c>
    </row>
    <row r="201" spans="1:5" x14ac:dyDescent="0.25">
      <c r="A201" s="90">
        <v>202</v>
      </c>
      <c r="B201" s="90">
        <v>-1</v>
      </c>
      <c r="C201" s="90">
        <v>716</v>
      </c>
      <c r="D201" s="90" t="s">
        <v>62</v>
      </c>
      <c r="E201" s="90">
        <v>31</v>
      </c>
    </row>
    <row r="202" spans="1:5" x14ac:dyDescent="0.25">
      <c r="A202" s="90">
        <v>203</v>
      </c>
      <c r="B202" s="90">
        <v>-1</v>
      </c>
      <c r="C202" s="90">
        <v>717</v>
      </c>
      <c r="D202" s="90" t="s">
        <v>62</v>
      </c>
      <c r="E202" s="90">
        <v>32</v>
      </c>
    </row>
    <row r="203" spans="1:5" x14ac:dyDescent="0.25">
      <c r="A203" s="90">
        <v>204</v>
      </c>
      <c r="B203" s="90">
        <v>-1</v>
      </c>
      <c r="C203" s="90">
        <v>718</v>
      </c>
      <c r="D203" s="90" t="s">
        <v>62</v>
      </c>
      <c r="E203" s="90">
        <v>33</v>
      </c>
    </row>
    <row r="204" spans="1:5" x14ac:dyDescent="0.25">
      <c r="A204" s="90">
        <v>205</v>
      </c>
      <c r="B204" s="90">
        <v>-1</v>
      </c>
      <c r="C204" s="90">
        <v>719</v>
      </c>
      <c r="D204" s="90" t="s">
        <v>62</v>
      </c>
      <c r="E204" s="90">
        <v>34</v>
      </c>
    </row>
    <row r="205" spans="1:5" x14ac:dyDescent="0.25">
      <c r="A205" s="90">
        <v>206</v>
      </c>
      <c r="B205" s="90">
        <v>-1</v>
      </c>
      <c r="C205" s="90">
        <v>720</v>
      </c>
      <c r="D205" s="90" t="s">
        <v>62</v>
      </c>
      <c r="E205" s="90">
        <v>35</v>
      </c>
    </row>
    <row r="206" spans="1:5" x14ac:dyDescent="0.25">
      <c r="A206" s="90">
        <v>207</v>
      </c>
      <c r="B206" s="90">
        <v>-1</v>
      </c>
      <c r="C206" s="90">
        <v>721</v>
      </c>
      <c r="D206" s="90" t="s">
        <v>62</v>
      </c>
      <c r="E206" s="90">
        <v>36</v>
      </c>
    </row>
    <row r="207" spans="1:5" x14ac:dyDescent="0.25">
      <c r="A207" s="90">
        <v>208</v>
      </c>
      <c r="B207" s="90">
        <v>-1</v>
      </c>
      <c r="C207" s="90">
        <v>722</v>
      </c>
      <c r="D207" s="90" t="s">
        <v>62</v>
      </c>
      <c r="E207" s="90">
        <v>37</v>
      </c>
    </row>
    <row r="208" spans="1:5" x14ac:dyDescent="0.25">
      <c r="A208" s="90">
        <v>209</v>
      </c>
      <c r="B208" s="90">
        <v>-1</v>
      </c>
      <c r="C208" s="90">
        <v>723</v>
      </c>
      <c r="D208" s="90" t="s">
        <v>62</v>
      </c>
      <c r="E208" s="90">
        <v>38</v>
      </c>
    </row>
    <row r="209" spans="1:5" x14ac:dyDescent="0.25">
      <c r="A209" s="90">
        <v>210</v>
      </c>
      <c r="B209" s="90">
        <v>-1</v>
      </c>
      <c r="C209" s="90">
        <v>724</v>
      </c>
      <c r="D209" s="90" t="s">
        <v>62</v>
      </c>
      <c r="E209" s="90">
        <v>39</v>
      </c>
    </row>
    <row r="210" spans="1:5" x14ac:dyDescent="0.25">
      <c r="A210" s="90">
        <v>211</v>
      </c>
      <c r="B210" s="90">
        <v>-1</v>
      </c>
      <c r="C210" s="90">
        <v>725</v>
      </c>
      <c r="D210" s="90" t="s">
        <v>62</v>
      </c>
      <c r="E210" s="90">
        <v>40</v>
      </c>
    </row>
    <row r="211" spans="1:5" x14ac:dyDescent="0.25">
      <c r="A211" s="90">
        <v>212</v>
      </c>
      <c r="B211" s="90">
        <v>-1</v>
      </c>
      <c r="C211" s="90">
        <v>726</v>
      </c>
      <c r="D211" s="90" t="s">
        <v>62</v>
      </c>
      <c r="E211" s="90">
        <v>41</v>
      </c>
    </row>
    <row r="212" spans="1:5" x14ac:dyDescent="0.25">
      <c r="A212" s="90">
        <v>213</v>
      </c>
      <c r="B212" s="90">
        <v>-1</v>
      </c>
      <c r="C212" s="90">
        <v>727</v>
      </c>
      <c r="D212" s="90" t="s">
        <v>62</v>
      </c>
      <c r="E212" s="90">
        <v>42</v>
      </c>
    </row>
    <row r="213" spans="1:5" x14ac:dyDescent="0.25">
      <c r="A213" s="90">
        <v>214</v>
      </c>
      <c r="B213" s="90">
        <v>-1</v>
      </c>
      <c r="C213" s="90">
        <v>728</v>
      </c>
      <c r="D213" s="90" t="s">
        <v>62</v>
      </c>
      <c r="E213" s="90">
        <v>43</v>
      </c>
    </row>
    <row r="214" spans="1:5" x14ac:dyDescent="0.25">
      <c r="A214" s="90">
        <v>215</v>
      </c>
      <c r="B214" s="90">
        <v>-1</v>
      </c>
      <c r="C214" s="90">
        <v>729</v>
      </c>
      <c r="D214" s="90" t="s">
        <v>62</v>
      </c>
      <c r="E214" s="90">
        <v>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ndonMapper">
                <anchor moveWithCells="1" sizeWithCells="1">
                  <from>
                    <xdr:col>11</xdr:col>
                    <xdr:colOff>9525</xdr:colOff>
                    <xdr:row>6</xdr:row>
                    <xdr:rowOff>104775</xdr:rowOff>
                  </from>
                  <to>
                    <xdr:col>15</xdr:col>
                    <xdr:colOff>57150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61"/>
  <sheetViews>
    <sheetView zoomScale="111" workbookViewId="0">
      <selection activeCell="E44" sqref="E44"/>
    </sheetView>
  </sheetViews>
  <sheetFormatPr defaultRowHeight="15" x14ac:dyDescent="0.25"/>
  <cols>
    <col min="5" max="5" width="15.28515625" bestFit="1" customWidth="1"/>
    <col min="8" max="12" width="9.5703125" bestFit="1" customWidth="1"/>
    <col min="13" max="17" width="9.42578125" bestFit="1" customWidth="1"/>
  </cols>
  <sheetData>
    <row r="1" spans="1:17" x14ac:dyDescent="0.25">
      <c r="A1" s="93" t="s">
        <v>43</v>
      </c>
      <c r="B1" s="93" t="s">
        <v>44</v>
      </c>
      <c r="C1" s="93" t="s">
        <v>45</v>
      </c>
      <c r="D1" s="93" t="s">
        <v>169</v>
      </c>
      <c r="E1" s="93" t="s">
        <v>170</v>
      </c>
      <c r="F1" s="93" t="s">
        <v>171</v>
      </c>
      <c r="G1" s="94" t="s">
        <v>172</v>
      </c>
      <c r="H1" s="93" t="s">
        <v>173</v>
      </c>
      <c r="I1" s="93" t="s">
        <v>174</v>
      </c>
      <c r="J1" s="93" t="s">
        <v>175</v>
      </c>
      <c r="K1" s="93" t="s">
        <v>176</v>
      </c>
      <c r="L1" s="93" t="s">
        <v>177</v>
      </c>
      <c r="M1" s="93" t="s">
        <v>178</v>
      </c>
      <c r="N1" s="93" t="s">
        <v>179</v>
      </c>
      <c r="O1" s="93" t="s">
        <v>180</v>
      </c>
      <c r="P1" s="93" t="s">
        <v>181</v>
      </c>
      <c r="Q1" s="93" t="s">
        <v>182</v>
      </c>
    </row>
    <row r="2" spans="1:17" x14ac:dyDescent="0.25">
      <c r="A2" s="95">
        <v>216</v>
      </c>
      <c r="B2" s="95">
        <f>IFERROR(INDEX(Data!$A$2:$A$120, MATCH(C2, Data!$B$2:$B$120, 0)),0)</f>
        <v>0</v>
      </c>
      <c r="C2" s="95">
        <f>Line!B42</f>
        <v>0</v>
      </c>
      <c r="D2" s="95">
        <f>C2</f>
        <v>0</v>
      </c>
      <c r="E2" s="95" t="s">
        <v>183</v>
      </c>
      <c r="F2" s="95">
        <v>502</v>
      </c>
      <c r="G2" s="96">
        <v>253</v>
      </c>
      <c r="H2" s="95" t="s">
        <v>235</v>
      </c>
      <c r="I2" s="95" t="s">
        <v>236</v>
      </c>
      <c r="J2" s="95" t="s">
        <v>237</v>
      </c>
      <c r="K2" s="95" t="s">
        <v>238</v>
      </c>
      <c r="L2" s="95" t="s">
        <v>239</v>
      </c>
      <c r="M2" s="95" t="s">
        <v>240</v>
      </c>
      <c r="N2" s="95" t="s">
        <v>241</v>
      </c>
      <c r="O2" s="95" t="s">
        <v>242</v>
      </c>
      <c r="P2" s="95" t="s">
        <v>243</v>
      </c>
      <c r="Q2" s="95" t="s">
        <v>244</v>
      </c>
    </row>
    <row r="3" spans="1:17" x14ac:dyDescent="0.25">
      <c r="A3" s="95">
        <v>217</v>
      </c>
      <c r="B3" s="95">
        <f>IFERROR(INDEX(Data!$A$2:$A$120, MATCH(C3, Data!$B$2:$B$120, 0)),0)</f>
        <v>374</v>
      </c>
      <c r="C3" s="95">
        <f>Line!B43</f>
        <v>174</v>
      </c>
      <c r="D3" s="95">
        <f>C3</f>
        <v>174</v>
      </c>
      <c r="E3" s="95" t="s">
        <v>183</v>
      </c>
      <c r="F3" s="95">
        <v>502</v>
      </c>
      <c r="G3" s="96">
        <v>253</v>
      </c>
      <c r="H3" s="95" t="s">
        <v>184</v>
      </c>
      <c r="I3" s="95" t="s">
        <v>185</v>
      </c>
      <c r="J3" s="95" t="s">
        <v>186</v>
      </c>
      <c r="K3" s="95" t="s">
        <v>187</v>
      </c>
      <c r="L3" s="95" t="s">
        <v>188</v>
      </c>
      <c r="M3" s="95" t="s">
        <v>189</v>
      </c>
      <c r="N3" s="95" t="s">
        <v>190</v>
      </c>
      <c r="O3" s="95" t="s">
        <v>191</v>
      </c>
      <c r="P3" s="95" t="s">
        <v>192</v>
      </c>
      <c r="Q3" s="95" t="s">
        <v>193</v>
      </c>
    </row>
    <row r="4" spans="1:17" x14ac:dyDescent="0.25">
      <c r="A4" s="95">
        <v>218</v>
      </c>
      <c r="B4" s="95">
        <f>IFERROR(INDEX(Data!$A$2:$A$120, MATCH(C4, Data!$B$2:$B$120, 0)),0)</f>
        <v>372</v>
      </c>
      <c r="C4" s="95">
        <f>Line!B44</f>
        <v>173</v>
      </c>
      <c r="D4" s="95">
        <f t="shared" ref="D4:D7" si="0">C4</f>
        <v>173</v>
      </c>
      <c r="E4" s="95" t="s">
        <v>183</v>
      </c>
      <c r="F4" s="95">
        <v>502</v>
      </c>
      <c r="G4" s="96">
        <v>253</v>
      </c>
      <c r="H4" s="95" t="s">
        <v>194</v>
      </c>
      <c r="I4" s="95" t="s">
        <v>195</v>
      </c>
      <c r="J4" s="95" t="s">
        <v>196</v>
      </c>
      <c r="K4" s="95" t="s">
        <v>197</v>
      </c>
      <c r="L4" s="95" t="s">
        <v>198</v>
      </c>
      <c r="M4" s="95" t="s">
        <v>199</v>
      </c>
      <c r="N4" s="95" t="s">
        <v>200</v>
      </c>
      <c r="O4" s="95" t="s">
        <v>201</v>
      </c>
      <c r="P4" s="95" t="s">
        <v>202</v>
      </c>
      <c r="Q4" s="95" t="s">
        <v>203</v>
      </c>
    </row>
    <row r="5" spans="1:17" x14ac:dyDescent="0.25">
      <c r="A5" s="95">
        <v>219</v>
      </c>
      <c r="B5" s="95">
        <f>IFERROR(INDEX(Data!$A$2:$A$120, MATCH(C5, Data!$B$2:$B$120, 0)),0)</f>
        <v>373</v>
      </c>
      <c r="C5" s="95">
        <f>Line!B45</f>
        <v>172</v>
      </c>
      <c r="D5" s="95">
        <f t="shared" si="0"/>
        <v>172</v>
      </c>
      <c r="E5" s="95" t="s">
        <v>183</v>
      </c>
      <c r="F5" s="95">
        <v>502</v>
      </c>
      <c r="G5" s="96">
        <v>253</v>
      </c>
      <c r="H5" s="95" t="s">
        <v>204</v>
      </c>
      <c r="I5" s="95" t="s">
        <v>205</v>
      </c>
      <c r="J5" s="95" t="s">
        <v>206</v>
      </c>
      <c r="K5" s="95" t="s">
        <v>207</v>
      </c>
      <c r="L5" s="95" t="s">
        <v>208</v>
      </c>
      <c r="M5" s="95" t="s">
        <v>209</v>
      </c>
      <c r="N5" s="95" t="s">
        <v>210</v>
      </c>
      <c r="O5" s="95" t="s">
        <v>211</v>
      </c>
      <c r="P5" s="95" t="s">
        <v>212</v>
      </c>
      <c r="Q5" s="95" t="s">
        <v>213</v>
      </c>
    </row>
    <row r="6" spans="1:17" x14ac:dyDescent="0.25">
      <c r="A6" s="95">
        <v>220</v>
      </c>
      <c r="B6" s="95">
        <f>IFERROR(INDEX(Data!$A$2:$A$120, MATCH(C6, Data!$B$2:$B$120, 0)),0)</f>
        <v>264</v>
      </c>
      <c r="C6" s="95">
        <f>Line!B46</f>
        <v>171</v>
      </c>
      <c r="D6" s="95">
        <f t="shared" si="0"/>
        <v>171</v>
      </c>
      <c r="E6" s="95" t="s">
        <v>183</v>
      </c>
      <c r="F6" s="95">
        <v>502</v>
      </c>
      <c r="G6" s="96">
        <v>253</v>
      </c>
      <c r="H6" s="95" t="s">
        <v>214</v>
      </c>
      <c r="I6" s="95" t="s">
        <v>215</v>
      </c>
      <c r="J6" s="95" t="s">
        <v>216</v>
      </c>
      <c r="K6" s="95" t="s">
        <v>217</v>
      </c>
      <c r="L6" s="95" t="s">
        <v>218</v>
      </c>
      <c r="M6" s="95" t="s">
        <v>219</v>
      </c>
      <c r="N6" s="95" t="s">
        <v>220</v>
      </c>
      <c r="O6" s="95" t="s">
        <v>221</v>
      </c>
      <c r="P6" s="95" t="s">
        <v>222</v>
      </c>
      <c r="Q6" s="95" t="s">
        <v>223</v>
      </c>
    </row>
    <row r="7" spans="1:17" x14ac:dyDescent="0.25">
      <c r="A7" s="95">
        <v>221</v>
      </c>
      <c r="B7" s="95">
        <f>IFERROR(INDEX(Data!$A$2:$A$120, MATCH(C7, Data!$B$2:$B$120, 0)),0)</f>
        <v>434</v>
      </c>
      <c r="C7" s="95">
        <f>Line!B47</f>
        <v>170</v>
      </c>
      <c r="D7" s="95">
        <f t="shared" si="0"/>
        <v>170</v>
      </c>
      <c r="E7" s="95" t="s">
        <v>183</v>
      </c>
      <c r="F7" s="95">
        <v>502</v>
      </c>
      <c r="G7" s="96">
        <v>253</v>
      </c>
      <c r="H7" s="95" t="s">
        <v>224</v>
      </c>
      <c r="I7" s="95" t="s">
        <v>225</v>
      </c>
      <c r="J7" s="95" t="s">
        <v>226</v>
      </c>
      <c r="K7" s="95" t="s">
        <v>227</v>
      </c>
      <c r="L7" s="95" t="s">
        <v>228</v>
      </c>
      <c r="M7" s="95" t="s">
        <v>229</v>
      </c>
      <c r="N7" s="95" t="s">
        <v>230</v>
      </c>
      <c r="O7" s="95" t="s">
        <v>231</v>
      </c>
      <c r="P7" s="95" t="s">
        <v>232</v>
      </c>
      <c r="Q7" s="95" t="s">
        <v>233</v>
      </c>
    </row>
    <row r="8" spans="1:17" x14ac:dyDescent="0.25">
      <c r="A8" s="97">
        <v>222</v>
      </c>
      <c r="B8" s="97">
        <f>IFERROR(INDEX(Data!$A$2:$A$120, MATCH(C8, Data!$B$2:$B$120, 0)),0)</f>
        <v>351</v>
      </c>
      <c r="C8" s="97">
        <f>Line!B48</f>
        <v>169</v>
      </c>
      <c r="D8" s="97">
        <f t="shared" ref="D8:D14" si="1">C8</f>
        <v>169</v>
      </c>
      <c r="E8" s="97" t="s">
        <v>234</v>
      </c>
      <c r="F8" s="97">
        <v>502</v>
      </c>
      <c r="G8" s="98">
        <v>0</v>
      </c>
      <c r="H8" s="97" t="s">
        <v>235</v>
      </c>
      <c r="I8" s="97" t="s">
        <v>236</v>
      </c>
      <c r="J8" s="97" t="s">
        <v>237</v>
      </c>
      <c r="K8" s="97" t="s">
        <v>238</v>
      </c>
      <c r="L8" s="97" t="s">
        <v>239</v>
      </c>
      <c r="M8" s="97" t="s">
        <v>240</v>
      </c>
      <c r="N8" s="97" t="s">
        <v>241</v>
      </c>
      <c r="O8" s="97" t="s">
        <v>242</v>
      </c>
      <c r="P8" s="97" t="s">
        <v>243</v>
      </c>
      <c r="Q8" s="97" t="s">
        <v>244</v>
      </c>
    </row>
    <row r="9" spans="1:17" x14ac:dyDescent="0.25">
      <c r="A9" s="97">
        <v>223</v>
      </c>
      <c r="B9" s="97">
        <f>IFERROR(INDEX(Data!$A$2:$A$120, MATCH(C9, Data!$B$2:$B$120, 0)),0)</f>
        <v>453</v>
      </c>
      <c r="C9" s="97">
        <f>Line!B49</f>
        <v>168</v>
      </c>
      <c r="D9" s="97">
        <f t="shared" si="1"/>
        <v>168</v>
      </c>
      <c r="E9" s="97" t="s">
        <v>234</v>
      </c>
      <c r="F9" s="97">
        <v>502</v>
      </c>
      <c r="G9" s="98">
        <v>0</v>
      </c>
      <c r="H9" s="97" t="s">
        <v>184</v>
      </c>
      <c r="I9" s="97" t="s">
        <v>185</v>
      </c>
      <c r="J9" s="97" t="s">
        <v>186</v>
      </c>
      <c r="K9" s="97" t="s">
        <v>187</v>
      </c>
      <c r="L9" s="97" t="s">
        <v>188</v>
      </c>
      <c r="M9" s="97" t="s">
        <v>189</v>
      </c>
      <c r="N9" s="97" t="s">
        <v>190</v>
      </c>
      <c r="O9" s="97" t="s">
        <v>191</v>
      </c>
      <c r="P9" s="97" t="s">
        <v>192</v>
      </c>
      <c r="Q9" s="97" t="s">
        <v>193</v>
      </c>
    </row>
    <row r="10" spans="1:17" x14ac:dyDescent="0.25">
      <c r="A10" s="97">
        <v>224</v>
      </c>
      <c r="B10" s="97">
        <f>IFERROR(INDEX(Data!$A$2:$A$120, MATCH(C10, Data!$B$2:$B$120, 0)),0)</f>
        <v>353</v>
      </c>
      <c r="C10" s="97">
        <f>Line!B50</f>
        <v>165</v>
      </c>
      <c r="D10" s="97">
        <f t="shared" si="1"/>
        <v>165</v>
      </c>
      <c r="E10" s="97" t="s">
        <v>234</v>
      </c>
      <c r="F10" s="97">
        <v>502</v>
      </c>
      <c r="G10" s="98">
        <v>0</v>
      </c>
      <c r="H10" s="97" t="s">
        <v>194</v>
      </c>
      <c r="I10" s="97" t="s">
        <v>195</v>
      </c>
      <c r="J10" s="97" t="s">
        <v>196</v>
      </c>
      <c r="K10" s="97" t="s">
        <v>197</v>
      </c>
      <c r="L10" s="97" t="s">
        <v>198</v>
      </c>
      <c r="M10" s="97" t="s">
        <v>199</v>
      </c>
      <c r="N10" s="97" t="s">
        <v>200</v>
      </c>
      <c r="O10" s="97" t="s">
        <v>201</v>
      </c>
      <c r="P10" s="97" t="s">
        <v>202</v>
      </c>
      <c r="Q10" s="97" t="s">
        <v>203</v>
      </c>
    </row>
    <row r="11" spans="1:17" x14ac:dyDescent="0.25">
      <c r="A11" s="97">
        <v>225</v>
      </c>
      <c r="B11" s="97">
        <f>IFERROR(INDEX(Data!$A$2:$A$120, MATCH(C11, Data!$B$2:$B$120, 0)),0)</f>
        <v>0</v>
      </c>
      <c r="C11" s="97">
        <v>0</v>
      </c>
      <c r="D11" s="97">
        <f t="shared" si="1"/>
        <v>0</v>
      </c>
      <c r="E11" s="97" t="s">
        <v>234</v>
      </c>
      <c r="F11" s="97">
        <v>502</v>
      </c>
      <c r="G11" s="98">
        <v>0</v>
      </c>
      <c r="H11" s="97" t="s">
        <v>204</v>
      </c>
      <c r="I11" s="97" t="s">
        <v>205</v>
      </c>
      <c r="J11" s="97" t="s">
        <v>206</v>
      </c>
      <c r="K11" s="97" t="s">
        <v>207</v>
      </c>
      <c r="L11" s="97" t="s">
        <v>208</v>
      </c>
      <c r="M11" s="97" t="s">
        <v>209</v>
      </c>
      <c r="N11" s="97" t="s">
        <v>210</v>
      </c>
      <c r="O11" s="97" t="s">
        <v>211</v>
      </c>
      <c r="P11" s="97" t="s">
        <v>212</v>
      </c>
      <c r="Q11" s="97" t="s">
        <v>213</v>
      </c>
    </row>
    <row r="12" spans="1:17" x14ac:dyDescent="0.25">
      <c r="A12" s="97">
        <v>226</v>
      </c>
      <c r="B12" s="97">
        <f>IFERROR(INDEX(Data!$A$2:$A$120, MATCH(C12, Data!$B$2:$B$120, 0)),0)</f>
        <v>354</v>
      </c>
      <c r="C12" s="97">
        <f>Line!B51</f>
        <v>164</v>
      </c>
      <c r="D12" s="97">
        <f t="shared" si="1"/>
        <v>164</v>
      </c>
      <c r="E12" s="97" t="s">
        <v>234</v>
      </c>
      <c r="F12" s="97">
        <v>502</v>
      </c>
      <c r="G12" s="98">
        <v>0</v>
      </c>
      <c r="H12" s="97" t="s">
        <v>214</v>
      </c>
      <c r="I12" s="97" t="s">
        <v>215</v>
      </c>
      <c r="J12" s="97" t="s">
        <v>216</v>
      </c>
      <c r="K12" s="97" t="s">
        <v>217</v>
      </c>
      <c r="L12" s="97" t="s">
        <v>218</v>
      </c>
      <c r="M12" s="97" t="s">
        <v>219</v>
      </c>
      <c r="N12" s="97" t="s">
        <v>220</v>
      </c>
      <c r="O12" s="97" t="s">
        <v>221</v>
      </c>
      <c r="P12" s="97" t="s">
        <v>222</v>
      </c>
      <c r="Q12" s="97" t="s">
        <v>223</v>
      </c>
    </row>
    <row r="13" spans="1:17" x14ac:dyDescent="0.25">
      <c r="A13" s="97">
        <v>227</v>
      </c>
      <c r="B13" s="97">
        <f>IFERROR(INDEX(Data!$A$2:$A$120, MATCH(C13, Data!$B$2:$B$120, 0)),0)</f>
        <v>0</v>
      </c>
      <c r="C13" s="97">
        <v>0</v>
      </c>
      <c r="D13" s="97">
        <f t="shared" si="1"/>
        <v>0</v>
      </c>
      <c r="E13" s="97" t="s">
        <v>234</v>
      </c>
      <c r="F13" s="97">
        <v>502</v>
      </c>
      <c r="G13" s="98">
        <v>0</v>
      </c>
      <c r="H13" s="97" t="s">
        <v>224</v>
      </c>
      <c r="I13" s="97" t="s">
        <v>225</v>
      </c>
      <c r="J13" s="97" t="s">
        <v>226</v>
      </c>
      <c r="K13" s="97" t="s">
        <v>227</v>
      </c>
      <c r="L13" s="97" t="s">
        <v>228</v>
      </c>
      <c r="M13" s="97" t="s">
        <v>229</v>
      </c>
      <c r="N13" s="97" t="s">
        <v>230</v>
      </c>
      <c r="O13" s="97" t="s">
        <v>231</v>
      </c>
      <c r="P13" s="97" t="s">
        <v>232</v>
      </c>
      <c r="Q13" s="97" t="s">
        <v>233</v>
      </c>
    </row>
    <row r="14" spans="1:17" x14ac:dyDescent="0.25">
      <c r="A14" s="99">
        <v>234</v>
      </c>
      <c r="B14" s="99">
        <f>IFERROR(INDEX(Data!$A$2:$A$120, MATCH(C14, Data!$B$2:$B$120, 0)),0)</f>
        <v>383</v>
      </c>
      <c r="C14" s="99">
        <f>Line!B93</f>
        <v>208</v>
      </c>
      <c r="D14" s="99">
        <f t="shared" si="1"/>
        <v>208</v>
      </c>
      <c r="E14" s="99" t="s">
        <v>245</v>
      </c>
      <c r="F14" s="99">
        <v>502</v>
      </c>
      <c r="G14" s="100">
        <v>0</v>
      </c>
      <c r="H14" s="99" t="s">
        <v>235</v>
      </c>
      <c r="I14" s="99" t="s">
        <v>236</v>
      </c>
      <c r="J14" s="99" t="s">
        <v>237</v>
      </c>
      <c r="K14" s="99" t="s">
        <v>238</v>
      </c>
      <c r="L14" s="99" t="s">
        <v>239</v>
      </c>
      <c r="M14" s="99" t="s">
        <v>240</v>
      </c>
      <c r="N14" s="99" t="s">
        <v>241</v>
      </c>
      <c r="O14" s="99" t="s">
        <v>242</v>
      </c>
      <c r="P14" s="99" t="s">
        <v>243</v>
      </c>
      <c r="Q14" s="99" t="s">
        <v>244</v>
      </c>
    </row>
    <row r="15" spans="1:17" x14ac:dyDescent="0.25">
      <c r="A15" s="99">
        <v>229</v>
      </c>
      <c r="B15" s="99">
        <f>IFERROR(INDEX(Data!$A$2:$A$120, MATCH(C15, Data!$B$2:$B$120, 0)),0)</f>
        <v>448</v>
      </c>
      <c r="C15" s="99">
        <f>Line!B94</f>
        <v>209</v>
      </c>
      <c r="D15" s="99">
        <f t="shared" ref="D15:D19" si="2">C15</f>
        <v>209</v>
      </c>
      <c r="E15" s="99" t="s">
        <v>245</v>
      </c>
      <c r="F15" s="99">
        <v>502</v>
      </c>
      <c r="G15" s="100">
        <v>0</v>
      </c>
      <c r="H15" s="99" t="s">
        <v>184</v>
      </c>
      <c r="I15" s="99" t="s">
        <v>185</v>
      </c>
      <c r="J15" s="99" t="s">
        <v>186</v>
      </c>
      <c r="K15" s="99" t="s">
        <v>187</v>
      </c>
      <c r="L15" s="99" t="s">
        <v>188</v>
      </c>
      <c r="M15" s="99" t="s">
        <v>189</v>
      </c>
      <c r="N15" s="99" t="s">
        <v>190</v>
      </c>
      <c r="O15" s="99" t="s">
        <v>191</v>
      </c>
      <c r="P15" s="99" t="s">
        <v>192</v>
      </c>
      <c r="Q15" s="99" t="s">
        <v>193</v>
      </c>
    </row>
    <row r="16" spans="1:17" x14ac:dyDescent="0.25">
      <c r="A16" s="99">
        <v>230</v>
      </c>
      <c r="B16" s="99">
        <f>IFERROR(INDEX(Data!$A$2:$A$120, MATCH(C16, Data!$B$2:$B$120, 0)),0)</f>
        <v>381</v>
      </c>
      <c r="C16" s="99">
        <f>Line!B95</f>
        <v>210</v>
      </c>
      <c r="D16" s="99">
        <f t="shared" si="2"/>
        <v>210</v>
      </c>
      <c r="E16" s="99" t="s">
        <v>245</v>
      </c>
      <c r="F16" s="99">
        <v>502</v>
      </c>
      <c r="G16" s="100">
        <v>0</v>
      </c>
      <c r="H16" s="99" t="s">
        <v>194</v>
      </c>
      <c r="I16" s="99" t="s">
        <v>195</v>
      </c>
      <c r="J16" s="99" t="s">
        <v>196</v>
      </c>
      <c r="K16" s="99" t="s">
        <v>197</v>
      </c>
      <c r="L16" s="99" t="s">
        <v>198</v>
      </c>
      <c r="M16" s="99" t="s">
        <v>199</v>
      </c>
      <c r="N16" s="99" t="s">
        <v>200</v>
      </c>
      <c r="O16" s="99" t="s">
        <v>201</v>
      </c>
      <c r="P16" s="99" t="s">
        <v>202</v>
      </c>
      <c r="Q16" s="99" t="s">
        <v>203</v>
      </c>
    </row>
    <row r="17" spans="1:17" x14ac:dyDescent="0.25">
      <c r="A17" s="99">
        <v>231</v>
      </c>
      <c r="B17" s="99">
        <f>IFERROR(INDEX(Data!$A$2:$A$120, MATCH(C17, Data!$B$2:$B$120, 0)),0)</f>
        <v>382</v>
      </c>
      <c r="C17" s="99">
        <f>Line!B96</f>
        <v>211</v>
      </c>
      <c r="D17" s="99">
        <f t="shared" si="2"/>
        <v>211</v>
      </c>
      <c r="E17" s="99" t="s">
        <v>245</v>
      </c>
      <c r="F17" s="99">
        <v>502</v>
      </c>
      <c r="G17" s="100">
        <v>0</v>
      </c>
      <c r="H17" s="99" t="s">
        <v>204</v>
      </c>
      <c r="I17" s="99" t="s">
        <v>205</v>
      </c>
      <c r="J17" s="99" t="s">
        <v>206</v>
      </c>
      <c r="K17" s="99" t="s">
        <v>207</v>
      </c>
      <c r="L17" s="99" t="s">
        <v>208</v>
      </c>
      <c r="M17" s="99" t="s">
        <v>209</v>
      </c>
      <c r="N17" s="99" t="s">
        <v>210</v>
      </c>
      <c r="O17" s="99" t="s">
        <v>211</v>
      </c>
      <c r="P17" s="99" t="s">
        <v>212</v>
      </c>
      <c r="Q17" s="99" t="s">
        <v>213</v>
      </c>
    </row>
    <row r="18" spans="1:17" x14ac:dyDescent="0.25">
      <c r="A18" s="99">
        <v>232</v>
      </c>
      <c r="B18" s="99">
        <f>IFERROR(INDEX(Data!$A$2:$A$120, MATCH(C18, Data!$B$2:$B$120, 0)),0)</f>
        <v>468</v>
      </c>
      <c r="C18" s="99">
        <f>Line!B92</f>
        <v>207</v>
      </c>
      <c r="D18" s="99">
        <f t="shared" si="2"/>
        <v>207</v>
      </c>
      <c r="E18" s="99" t="s">
        <v>245</v>
      </c>
      <c r="F18" s="99">
        <v>502</v>
      </c>
      <c r="G18" s="100">
        <v>0</v>
      </c>
      <c r="H18" s="99" t="s">
        <v>214</v>
      </c>
      <c r="I18" s="99" t="s">
        <v>215</v>
      </c>
      <c r="J18" s="99" t="s">
        <v>216</v>
      </c>
      <c r="K18" s="99" t="s">
        <v>217</v>
      </c>
      <c r="L18" s="99" t="s">
        <v>218</v>
      </c>
      <c r="M18" s="99" t="s">
        <v>219</v>
      </c>
      <c r="N18" s="99" t="s">
        <v>220</v>
      </c>
      <c r="O18" s="99" t="s">
        <v>221</v>
      </c>
      <c r="P18" s="99" t="s">
        <v>222</v>
      </c>
      <c r="Q18" s="99" t="s">
        <v>223</v>
      </c>
    </row>
    <row r="19" spans="1:17" x14ac:dyDescent="0.25">
      <c r="A19" s="99">
        <v>233</v>
      </c>
      <c r="B19" s="99">
        <f>IFERROR(INDEX(Data!$A$2:$A$120, MATCH(C19, Data!$B$2:$B$120, 0)),0)</f>
        <v>207</v>
      </c>
      <c r="C19" s="99">
        <f>Line!B97</f>
        <v>206</v>
      </c>
      <c r="D19" s="99">
        <f t="shared" si="2"/>
        <v>206</v>
      </c>
      <c r="E19" s="99" t="s">
        <v>245</v>
      </c>
      <c r="F19" s="99">
        <v>502</v>
      </c>
      <c r="G19" s="100">
        <v>0</v>
      </c>
      <c r="H19" s="99" t="s">
        <v>224</v>
      </c>
      <c r="I19" s="99" t="s">
        <v>225</v>
      </c>
      <c r="J19" s="99" t="s">
        <v>226</v>
      </c>
      <c r="K19" s="99" t="s">
        <v>227</v>
      </c>
      <c r="L19" s="99" t="s">
        <v>228</v>
      </c>
      <c r="M19" s="99" t="s">
        <v>229</v>
      </c>
      <c r="N19" s="99" t="s">
        <v>230</v>
      </c>
      <c r="O19" s="99" t="s">
        <v>231</v>
      </c>
      <c r="P19" s="99" t="s">
        <v>232</v>
      </c>
      <c r="Q19" s="99" t="s">
        <v>233</v>
      </c>
    </row>
    <row r="20" spans="1:17" x14ac:dyDescent="0.25">
      <c r="A20" s="101">
        <v>235</v>
      </c>
      <c r="B20" s="101">
        <f>IFERROR(INDEX(Data!$A$2:$A$120, MATCH(C20, Data!$B$2:$B$120, 0)),0)</f>
        <v>378</v>
      </c>
      <c r="C20" s="101">
        <f>Line!B86</f>
        <v>201</v>
      </c>
      <c r="D20" s="101">
        <f>C20</f>
        <v>201</v>
      </c>
      <c r="E20" s="101" t="s">
        <v>246</v>
      </c>
      <c r="F20" s="101">
        <v>502</v>
      </c>
      <c r="G20" s="102">
        <v>0</v>
      </c>
      <c r="H20" s="101" t="s">
        <v>235</v>
      </c>
      <c r="I20" s="101" t="s">
        <v>236</v>
      </c>
      <c r="J20" s="101" t="s">
        <v>237</v>
      </c>
      <c r="K20" s="101" t="s">
        <v>238</v>
      </c>
      <c r="L20" s="101" t="s">
        <v>239</v>
      </c>
      <c r="M20" s="101" t="s">
        <v>240</v>
      </c>
      <c r="N20" s="101" t="s">
        <v>241</v>
      </c>
      <c r="O20" s="101" t="s">
        <v>242</v>
      </c>
      <c r="P20" s="101" t="s">
        <v>243</v>
      </c>
      <c r="Q20" s="101" t="s">
        <v>244</v>
      </c>
    </row>
    <row r="21" spans="1:17" x14ac:dyDescent="0.25">
      <c r="A21" s="101">
        <v>236</v>
      </c>
      <c r="B21" s="101">
        <f>IFERROR(INDEX(Data!$A$2:$A$120, MATCH(C21, Data!$B$2:$B$120, 0)),0)</f>
        <v>376</v>
      </c>
      <c r="C21" s="101">
        <f>Line!B87</f>
        <v>202</v>
      </c>
      <c r="D21" s="101">
        <f t="shared" ref="D21:D25" si="3">C21</f>
        <v>202</v>
      </c>
      <c r="E21" s="101" t="s">
        <v>246</v>
      </c>
      <c r="F21" s="101">
        <v>502</v>
      </c>
      <c r="G21" s="102">
        <v>0</v>
      </c>
      <c r="H21" s="101" t="s">
        <v>184</v>
      </c>
      <c r="I21" s="101" t="s">
        <v>185</v>
      </c>
      <c r="J21" s="101" t="s">
        <v>186</v>
      </c>
      <c r="K21" s="101" t="s">
        <v>187</v>
      </c>
      <c r="L21" s="101" t="s">
        <v>188</v>
      </c>
      <c r="M21" s="101" t="s">
        <v>189</v>
      </c>
      <c r="N21" s="101" t="s">
        <v>190</v>
      </c>
      <c r="O21" s="101" t="s">
        <v>191</v>
      </c>
      <c r="P21" s="101" t="s">
        <v>192</v>
      </c>
      <c r="Q21" s="101" t="s">
        <v>193</v>
      </c>
    </row>
    <row r="22" spans="1:17" x14ac:dyDescent="0.25">
      <c r="A22" s="101">
        <v>237</v>
      </c>
      <c r="B22" s="101">
        <f>IFERROR(INDEX(Data!$A$2:$A$120, MATCH(C22, Data!$B$2:$B$120, 0)),0)</f>
        <v>375</v>
      </c>
      <c r="C22" s="101">
        <f>Line!B88</f>
        <v>203</v>
      </c>
      <c r="D22" s="101">
        <f t="shared" si="3"/>
        <v>203</v>
      </c>
      <c r="E22" s="101" t="s">
        <v>246</v>
      </c>
      <c r="F22" s="101">
        <v>502</v>
      </c>
      <c r="G22" s="102">
        <v>0</v>
      </c>
      <c r="H22" s="101" t="s">
        <v>194</v>
      </c>
      <c r="I22" s="101" t="s">
        <v>195</v>
      </c>
      <c r="J22" s="101" t="s">
        <v>196</v>
      </c>
      <c r="K22" s="101" t="s">
        <v>197</v>
      </c>
      <c r="L22" s="101" t="s">
        <v>198</v>
      </c>
      <c r="M22" s="101" t="s">
        <v>199</v>
      </c>
      <c r="N22" s="101" t="s">
        <v>200</v>
      </c>
      <c r="O22" s="101" t="s">
        <v>201</v>
      </c>
      <c r="P22" s="101" t="s">
        <v>202</v>
      </c>
      <c r="Q22" s="101" t="s">
        <v>203</v>
      </c>
    </row>
    <row r="23" spans="1:17" x14ac:dyDescent="0.25">
      <c r="A23" s="101">
        <v>238</v>
      </c>
      <c r="B23" s="101">
        <f>IFERROR(INDEX(Data!$A$2:$A$120, MATCH(C23, Data!$B$2:$B$120, 0)),0)</f>
        <v>294</v>
      </c>
      <c r="C23" s="138">
        <f>Line!B89</f>
        <v>204</v>
      </c>
      <c r="D23" s="101">
        <f t="shared" si="3"/>
        <v>204</v>
      </c>
      <c r="E23" s="101" t="s">
        <v>246</v>
      </c>
      <c r="F23" s="101">
        <v>502</v>
      </c>
      <c r="G23" s="102">
        <v>0</v>
      </c>
      <c r="H23" s="101" t="s">
        <v>204</v>
      </c>
      <c r="I23" s="101" t="s">
        <v>205</v>
      </c>
      <c r="J23" s="101" t="s">
        <v>206</v>
      </c>
      <c r="K23" s="101" t="s">
        <v>207</v>
      </c>
      <c r="L23" s="101" t="s">
        <v>208</v>
      </c>
      <c r="M23" s="101" t="s">
        <v>209</v>
      </c>
      <c r="N23" s="101" t="s">
        <v>210</v>
      </c>
      <c r="O23" s="101" t="s">
        <v>211</v>
      </c>
      <c r="P23" s="101" t="s">
        <v>212</v>
      </c>
      <c r="Q23" s="101" t="s">
        <v>213</v>
      </c>
    </row>
    <row r="24" spans="1:17" x14ac:dyDescent="0.25">
      <c r="A24" s="101">
        <v>239</v>
      </c>
      <c r="B24" s="101">
        <f>IFERROR(INDEX(Data!$A$2:$A$120, MATCH(C24, Data!$B$2:$B$120, 0)),0)</f>
        <v>379</v>
      </c>
      <c r="C24" s="101">
        <f>Line!B90</f>
        <v>205</v>
      </c>
      <c r="D24" s="101">
        <f t="shared" si="3"/>
        <v>205</v>
      </c>
      <c r="E24" s="101" t="s">
        <v>246</v>
      </c>
      <c r="F24" s="101">
        <v>502</v>
      </c>
      <c r="G24" s="102">
        <v>0</v>
      </c>
      <c r="H24" s="101" t="s">
        <v>214</v>
      </c>
      <c r="I24" s="101" t="s">
        <v>215</v>
      </c>
      <c r="J24" s="101" t="s">
        <v>216</v>
      </c>
      <c r="K24" s="101" t="s">
        <v>217</v>
      </c>
      <c r="L24" s="101" t="s">
        <v>218</v>
      </c>
      <c r="M24" s="101" t="s">
        <v>219</v>
      </c>
      <c r="N24" s="101" t="s">
        <v>220</v>
      </c>
      <c r="O24" s="101" t="s">
        <v>221</v>
      </c>
      <c r="P24" s="101" t="s">
        <v>222</v>
      </c>
      <c r="Q24" s="101" t="s">
        <v>223</v>
      </c>
    </row>
    <row r="25" spans="1:17" x14ac:dyDescent="0.25">
      <c r="A25" s="101">
        <v>240</v>
      </c>
      <c r="B25" s="101">
        <f>IFERROR(INDEX(Data!$A$2:$A$120, MATCH(C25, Data!$B$2:$B$120, 0)),0)</f>
        <v>438</v>
      </c>
      <c r="C25" s="138">
        <f>Line!B91</f>
        <v>212</v>
      </c>
      <c r="D25" s="101">
        <f t="shared" si="3"/>
        <v>212</v>
      </c>
      <c r="E25" s="101" t="s">
        <v>246</v>
      </c>
      <c r="F25" s="101">
        <v>502</v>
      </c>
      <c r="G25" s="102">
        <v>0</v>
      </c>
      <c r="H25" s="101" t="s">
        <v>224</v>
      </c>
      <c r="I25" s="101" t="s">
        <v>225</v>
      </c>
      <c r="J25" s="101" t="s">
        <v>226</v>
      </c>
      <c r="K25" s="101" t="s">
        <v>227</v>
      </c>
      <c r="L25" s="101" t="s">
        <v>228</v>
      </c>
      <c r="M25" s="101" t="s">
        <v>229</v>
      </c>
      <c r="N25" s="101" t="s">
        <v>230</v>
      </c>
      <c r="O25" s="101" t="s">
        <v>231</v>
      </c>
      <c r="P25" s="101" t="s">
        <v>232</v>
      </c>
      <c r="Q25" s="101" t="s">
        <v>233</v>
      </c>
    </row>
    <row r="26" spans="1:17" x14ac:dyDescent="0.25">
      <c r="A26" s="97">
        <v>247</v>
      </c>
      <c r="B26" s="97">
        <f>IFERROR(INDEX(Data!$A$2:$A$120, MATCH(C26, Data!$B$2:$B$120, 0)),0)</f>
        <v>362</v>
      </c>
      <c r="C26" s="97">
        <f>Line!B52</f>
        <v>163</v>
      </c>
      <c r="D26" s="97">
        <f>C26</f>
        <v>163</v>
      </c>
      <c r="E26" s="97" t="s">
        <v>247</v>
      </c>
      <c r="F26" s="97">
        <v>502</v>
      </c>
      <c r="G26" s="98">
        <v>0</v>
      </c>
      <c r="H26" s="97" t="s">
        <v>235</v>
      </c>
      <c r="I26" s="97" t="s">
        <v>236</v>
      </c>
      <c r="J26" s="97" t="s">
        <v>237</v>
      </c>
      <c r="K26" s="97" t="s">
        <v>238</v>
      </c>
      <c r="L26" s="97" t="s">
        <v>239</v>
      </c>
      <c r="M26" s="97" t="s">
        <v>240</v>
      </c>
      <c r="N26" s="97" t="s">
        <v>241</v>
      </c>
      <c r="O26" s="97" t="s">
        <v>242</v>
      </c>
      <c r="P26" s="97" t="s">
        <v>243</v>
      </c>
      <c r="Q26" s="97" t="s">
        <v>244</v>
      </c>
    </row>
    <row r="27" spans="1:17" x14ac:dyDescent="0.25">
      <c r="A27" s="97">
        <v>248</v>
      </c>
      <c r="B27" s="97">
        <f>IFERROR(INDEX(Data!$A$2:$A$120, MATCH(C27, Data!$B$2:$B$120, 0)),0)</f>
        <v>0</v>
      </c>
      <c r="C27" s="97">
        <v>0</v>
      </c>
      <c r="D27" s="97">
        <f t="shared" ref="D27:D31" si="4">C27</f>
        <v>0</v>
      </c>
      <c r="E27" s="97" t="s">
        <v>247</v>
      </c>
      <c r="F27" s="97">
        <v>502</v>
      </c>
      <c r="G27" s="98">
        <v>0</v>
      </c>
      <c r="H27" s="97" t="s">
        <v>184</v>
      </c>
      <c r="I27" s="97" t="s">
        <v>185</v>
      </c>
      <c r="J27" s="97" t="s">
        <v>186</v>
      </c>
      <c r="K27" s="97" t="s">
        <v>187</v>
      </c>
      <c r="L27" s="97" t="s">
        <v>188</v>
      </c>
      <c r="M27" s="97" t="s">
        <v>189</v>
      </c>
      <c r="N27" s="97" t="s">
        <v>190</v>
      </c>
      <c r="O27" s="97" t="s">
        <v>191</v>
      </c>
      <c r="P27" s="97" t="s">
        <v>192</v>
      </c>
      <c r="Q27" s="97" t="s">
        <v>193</v>
      </c>
    </row>
    <row r="28" spans="1:17" x14ac:dyDescent="0.25">
      <c r="A28" s="97">
        <v>249</v>
      </c>
      <c r="B28" s="97">
        <f>IFERROR(INDEX(Data!$A$2:$A$120, MATCH(C28, Data!$B$2:$B$120, 0)),0)</f>
        <v>365</v>
      </c>
      <c r="C28" s="97">
        <f>Line!B53</f>
        <v>162</v>
      </c>
      <c r="D28" s="97">
        <f t="shared" si="4"/>
        <v>162</v>
      </c>
      <c r="E28" s="97" t="s">
        <v>247</v>
      </c>
      <c r="F28" s="97">
        <v>502</v>
      </c>
      <c r="G28" s="98">
        <v>0</v>
      </c>
      <c r="H28" s="97" t="s">
        <v>194</v>
      </c>
      <c r="I28" s="97" t="s">
        <v>195</v>
      </c>
      <c r="J28" s="97" t="s">
        <v>196</v>
      </c>
      <c r="K28" s="97" t="s">
        <v>197</v>
      </c>
      <c r="L28" s="97" t="s">
        <v>198</v>
      </c>
      <c r="M28" s="97" t="s">
        <v>199</v>
      </c>
      <c r="N28" s="97" t="s">
        <v>200</v>
      </c>
      <c r="O28" s="97" t="s">
        <v>201</v>
      </c>
      <c r="P28" s="97" t="s">
        <v>202</v>
      </c>
      <c r="Q28" s="97" t="s">
        <v>203</v>
      </c>
    </row>
    <row r="29" spans="1:17" x14ac:dyDescent="0.25">
      <c r="A29" s="97">
        <v>250</v>
      </c>
      <c r="B29" s="97">
        <f>IFERROR(INDEX(Data!$A$2:$A$120, MATCH(C29, Data!$B$2:$B$120, 0)),0)</f>
        <v>366</v>
      </c>
      <c r="C29" s="97">
        <f>Line!B54</f>
        <v>161</v>
      </c>
      <c r="D29" s="97">
        <f t="shared" si="4"/>
        <v>161</v>
      </c>
      <c r="E29" s="97" t="s">
        <v>247</v>
      </c>
      <c r="F29" s="97">
        <v>502</v>
      </c>
      <c r="G29" s="98">
        <v>0</v>
      </c>
      <c r="H29" s="97" t="s">
        <v>204</v>
      </c>
      <c r="I29" s="97" t="s">
        <v>205</v>
      </c>
      <c r="J29" s="97" t="s">
        <v>206</v>
      </c>
      <c r="K29" s="97" t="s">
        <v>207</v>
      </c>
      <c r="L29" s="97" t="s">
        <v>208</v>
      </c>
      <c r="M29" s="97" t="s">
        <v>209</v>
      </c>
      <c r="N29" s="97" t="s">
        <v>210</v>
      </c>
      <c r="O29" s="97" t="s">
        <v>211</v>
      </c>
      <c r="P29" s="97" t="s">
        <v>212</v>
      </c>
      <c r="Q29" s="97" t="s">
        <v>213</v>
      </c>
    </row>
    <row r="30" spans="1:17" x14ac:dyDescent="0.25">
      <c r="A30" s="97">
        <v>251</v>
      </c>
      <c r="B30" s="97">
        <f>IFERROR(INDEX(Data!$A$2:$A$120, MATCH(C30, Data!$B$2:$B$120, 0)),0)</f>
        <v>0</v>
      </c>
      <c r="C30" s="97">
        <v>0</v>
      </c>
      <c r="D30" s="97">
        <f t="shared" si="4"/>
        <v>0</v>
      </c>
      <c r="E30" s="97" t="s">
        <v>247</v>
      </c>
      <c r="F30" s="97">
        <v>502</v>
      </c>
      <c r="G30" s="98">
        <v>0</v>
      </c>
      <c r="H30" s="97" t="s">
        <v>214</v>
      </c>
      <c r="I30" s="97" t="s">
        <v>215</v>
      </c>
      <c r="J30" s="97" t="s">
        <v>216</v>
      </c>
      <c r="K30" s="97" t="s">
        <v>217</v>
      </c>
      <c r="L30" s="97" t="s">
        <v>218</v>
      </c>
      <c r="M30" s="97" t="s">
        <v>219</v>
      </c>
      <c r="N30" s="97" t="s">
        <v>220</v>
      </c>
      <c r="O30" s="97" t="s">
        <v>221</v>
      </c>
      <c r="P30" s="97" t="s">
        <v>222</v>
      </c>
      <c r="Q30" s="97" t="s">
        <v>223</v>
      </c>
    </row>
    <row r="31" spans="1:17" x14ac:dyDescent="0.25">
      <c r="A31" s="97">
        <v>252</v>
      </c>
      <c r="B31" s="97">
        <f>IFERROR(INDEX(Data!$A$2:$A$120, MATCH(C31, Data!$B$2:$B$120, 0)),0)</f>
        <v>368</v>
      </c>
      <c r="C31" s="97">
        <f>Line!B55</f>
        <v>160</v>
      </c>
      <c r="D31" s="97">
        <f t="shared" si="4"/>
        <v>160</v>
      </c>
      <c r="E31" s="97" t="s">
        <v>247</v>
      </c>
      <c r="F31" s="97">
        <v>502</v>
      </c>
      <c r="G31" s="98">
        <v>0</v>
      </c>
      <c r="H31" s="97" t="s">
        <v>224</v>
      </c>
      <c r="I31" s="97" t="s">
        <v>225</v>
      </c>
      <c r="J31" s="97" t="s">
        <v>226</v>
      </c>
      <c r="K31" s="97" t="s">
        <v>227</v>
      </c>
      <c r="L31" s="97" t="s">
        <v>228</v>
      </c>
      <c r="M31" s="97" t="s">
        <v>229</v>
      </c>
      <c r="N31" s="97" t="s">
        <v>230</v>
      </c>
      <c r="O31" s="97" t="s">
        <v>231</v>
      </c>
      <c r="P31" s="97" t="s">
        <v>232</v>
      </c>
      <c r="Q31" s="97" t="s">
        <v>233</v>
      </c>
    </row>
    <row r="32" spans="1:17" x14ac:dyDescent="0.25">
      <c r="A32" s="99">
        <v>253</v>
      </c>
      <c r="B32" s="99">
        <f>IFERROR(INDEX(Data!$A$2:$A$120, MATCH(C32, Data!$B$2:$B$120, 0)),0)</f>
        <v>460</v>
      </c>
      <c r="C32" s="99">
        <f>Line!B56</f>
        <v>159</v>
      </c>
      <c r="D32" s="99">
        <f>C32</f>
        <v>159</v>
      </c>
      <c r="E32" s="99" t="s">
        <v>248</v>
      </c>
      <c r="F32" s="99">
        <v>502</v>
      </c>
      <c r="G32" s="100">
        <v>0</v>
      </c>
      <c r="H32" s="99" t="s">
        <v>235</v>
      </c>
      <c r="I32" s="99" t="s">
        <v>236</v>
      </c>
      <c r="J32" s="99" t="s">
        <v>237</v>
      </c>
      <c r="K32" s="99" t="s">
        <v>238</v>
      </c>
      <c r="L32" s="99" t="s">
        <v>239</v>
      </c>
      <c r="M32" s="99" t="s">
        <v>240</v>
      </c>
      <c r="N32" s="99" t="s">
        <v>241</v>
      </c>
      <c r="O32" s="99" t="s">
        <v>242</v>
      </c>
      <c r="P32" s="99" t="s">
        <v>243</v>
      </c>
      <c r="Q32" s="99" t="s">
        <v>244</v>
      </c>
    </row>
    <row r="33" spans="1:17" x14ac:dyDescent="0.25">
      <c r="A33" s="99">
        <v>254</v>
      </c>
      <c r="B33" s="99">
        <f>IFERROR(INDEX(Data!$A$2:$A$120, MATCH(C33, Data!$B$2:$B$120, 0)),0)</f>
        <v>0</v>
      </c>
      <c r="C33" s="99">
        <f>Line!B57</f>
        <v>158</v>
      </c>
      <c r="D33" s="99">
        <f t="shared" ref="D33:D37" si="5">C33</f>
        <v>158</v>
      </c>
      <c r="E33" s="99" t="s">
        <v>248</v>
      </c>
      <c r="F33" s="99">
        <v>502</v>
      </c>
      <c r="G33" s="100">
        <v>0</v>
      </c>
      <c r="H33" s="99" t="s">
        <v>184</v>
      </c>
      <c r="I33" s="99" t="s">
        <v>185</v>
      </c>
      <c r="J33" s="99" t="s">
        <v>186</v>
      </c>
      <c r="K33" s="99" t="s">
        <v>187</v>
      </c>
      <c r="L33" s="99" t="s">
        <v>188</v>
      </c>
      <c r="M33" s="99" t="s">
        <v>189</v>
      </c>
      <c r="N33" s="99" t="s">
        <v>190</v>
      </c>
      <c r="O33" s="99" t="s">
        <v>191</v>
      </c>
      <c r="P33" s="99" t="s">
        <v>192</v>
      </c>
      <c r="Q33" s="99" t="s">
        <v>193</v>
      </c>
    </row>
    <row r="34" spans="1:17" x14ac:dyDescent="0.25">
      <c r="A34" s="99">
        <v>255</v>
      </c>
      <c r="B34" s="99">
        <f>IFERROR(INDEX(Data!$A$2:$A$120, MATCH(C34, Data!$B$2:$B$120, 0)),0)</f>
        <v>241</v>
      </c>
      <c r="C34" s="99">
        <f>Line!B58</f>
        <v>154</v>
      </c>
      <c r="D34" s="99">
        <f t="shared" si="5"/>
        <v>154</v>
      </c>
      <c r="E34" s="99" t="s">
        <v>248</v>
      </c>
      <c r="F34" s="99">
        <v>502</v>
      </c>
      <c r="G34" s="100">
        <v>0</v>
      </c>
      <c r="H34" s="99" t="s">
        <v>194</v>
      </c>
      <c r="I34" s="99" t="s">
        <v>195</v>
      </c>
      <c r="J34" s="99" t="s">
        <v>196</v>
      </c>
      <c r="K34" s="99" t="s">
        <v>197</v>
      </c>
      <c r="L34" s="99" t="s">
        <v>198</v>
      </c>
      <c r="M34" s="99" t="s">
        <v>199</v>
      </c>
      <c r="N34" s="99" t="s">
        <v>200</v>
      </c>
      <c r="O34" s="99" t="s">
        <v>201</v>
      </c>
      <c r="P34" s="99" t="s">
        <v>202</v>
      </c>
      <c r="Q34" s="99" t="s">
        <v>203</v>
      </c>
    </row>
    <row r="35" spans="1:17" x14ac:dyDescent="0.25">
      <c r="A35" s="99">
        <v>256</v>
      </c>
      <c r="B35" s="99">
        <f>IFERROR(INDEX(Data!$A$2:$A$120, MATCH(C35, Data!$B$2:$B$120, 0)),0)</f>
        <v>427</v>
      </c>
      <c r="C35" s="99">
        <f>Line!B59</f>
        <v>153</v>
      </c>
      <c r="D35" s="99">
        <f t="shared" si="5"/>
        <v>153</v>
      </c>
      <c r="E35" s="99" t="s">
        <v>248</v>
      </c>
      <c r="F35" s="99">
        <v>502</v>
      </c>
      <c r="G35" s="100">
        <v>0</v>
      </c>
      <c r="H35" s="99" t="s">
        <v>204</v>
      </c>
      <c r="I35" s="99" t="s">
        <v>205</v>
      </c>
      <c r="J35" s="99" t="s">
        <v>206</v>
      </c>
      <c r="K35" s="99" t="s">
        <v>207</v>
      </c>
      <c r="L35" s="99" t="s">
        <v>208</v>
      </c>
      <c r="M35" s="99" t="s">
        <v>209</v>
      </c>
      <c r="N35" s="99" t="s">
        <v>210</v>
      </c>
      <c r="O35" s="99" t="s">
        <v>211</v>
      </c>
      <c r="P35" s="99" t="s">
        <v>212</v>
      </c>
      <c r="Q35" s="104" t="s">
        <v>213</v>
      </c>
    </row>
    <row r="36" spans="1:17" x14ac:dyDescent="0.25">
      <c r="A36" s="104">
        <v>257</v>
      </c>
      <c r="B36" s="99">
        <f>IFERROR(INDEX(Data!$A$2:$A$120, MATCH(C36, Data!$B$2:$B$120, 0)),0)</f>
        <v>0</v>
      </c>
      <c r="C36" s="104">
        <v>0</v>
      </c>
      <c r="D36" s="99">
        <f t="shared" si="5"/>
        <v>0</v>
      </c>
      <c r="E36" s="104" t="s">
        <v>248</v>
      </c>
      <c r="F36" s="104">
        <v>502</v>
      </c>
      <c r="G36" s="100">
        <v>0</v>
      </c>
      <c r="H36" s="99" t="s">
        <v>214</v>
      </c>
      <c r="I36" s="99" t="s">
        <v>215</v>
      </c>
      <c r="J36" s="99" t="s">
        <v>216</v>
      </c>
      <c r="K36" s="99" t="s">
        <v>217</v>
      </c>
      <c r="L36" s="99" t="s">
        <v>218</v>
      </c>
      <c r="M36" s="99" t="s">
        <v>219</v>
      </c>
      <c r="N36" s="99" t="s">
        <v>220</v>
      </c>
      <c r="O36" s="99" t="s">
        <v>221</v>
      </c>
      <c r="P36" s="99" t="s">
        <v>222</v>
      </c>
      <c r="Q36" s="104" t="s">
        <v>223</v>
      </c>
    </row>
    <row r="37" spans="1:17" x14ac:dyDescent="0.25">
      <c r="A37" s="104">
        <v>258</v>
      </c>
      <c r="B37" s="99">
        <f>IFERROR(INDEX(Data!$A$2:$A$120, MATCH(C37, Data!$B$2:$B$120, 0)),0)</f>
        <v>0</v>
      </c>
      <c r="C37" s="104">
        <v>0</v>
      </c>
      <c r="D37" s="99">
        <f t="shared" si="5"/>
        <v>0</v>
      </c>
      <c r="E37" s="104" t="s">
        <v>248</v>
      </c>
      <c r="F37" s="104">
        <v>502</v>
      </c>
      <c r="G37" s="100">
        <v>0</v>
      </c>
      <c r="H37" s="104" t="s">
        <v>224</v>
      </c>
      <c r="I37" s="104" t="s">
        <v>225</v>
      </c>
      <c r="J37" s="104" t="s">
        <v>226</v>
      </c>
      <c r="K37" s="104" t="s">
        <v>227</v>
      </c>
      <c r="L37" s="104" t="s">
        <v>228</v>
      </c>
      <c r="M37" s="104" t="s">
        <v>229</v>
      </c>
      <c r="N37" s="104" t="s">
        <v>230</v>
      </c>
      <c r="O37" s="104" t="s">
        <v>231</v>
      </c>
      <c r="P37" s="104" t="s">
        <v>232</v>
      </c>
      <c r="Q37" s="104" t="s">
        <v>233</v>
      </c>
    </row>
    <row r="38" spans="1:17" x14ac:dyDescent="0.25">
      <c r="A38" s="105">
        <v>259</v>
      </c>
      <c r="B38" s="105">
        <f>IFERROR(INDEX(Data!$A$2:$A$120, MATCH(C38, Data!$B$2:$B$120, 0)),0)</f>
        <v>356</v>
      </c>
      <c r="C38" s="105">
        <f>Line!B65</f>
        <v>147</v>
      </c>
      <c r="D38" s="105">
        <f>C38</f>
        <v>147</v>
      </c>
      <c r="E38" s="105" t="s">
        <v>249</v>
      </c>
      <c r="F38" s="105">
        <v>502</v>
      </c>
      <c r="G38" s="108">
        <v>0</v>
      </c>
      <c r="H38" s="105" t="s">
        <v>235</v>
      </c>
      <c r="I38" s="105" t="s">
        <v>236</v>
      </c>
      <c r="J38" s="105" t="s">
        <v>237</v>
      </c>
      <c r="K38" s="105" t="s">
        <v>238</v>
      </c>
      <c r="L38" s="105" t="s">
        <v>239</v>
      </c>
      <c r="M38" s="105" t="s">
        <v>240</v>
      </c>
      <c r="N38" s="105" t="s">
        <v>241</v>
      </c>
      <c r="O38" s="105" t="s">
        <v>242</v>
      </c>
      <c r="P38" s="105" t="s">
        <v>243</v>
      </c>
      <c r="Q38" s="105" t="s">
        <v>244</v>
      </c>
    </row>
    <row r="39" spans="1:17" x14ac:dyDescent="0.25">
      <c r="A39" s="105">
        <v>260</v>
      </c>
      <c r="B39" s="105">
        <f>IFERROR(INDEX(Data!$A$2:$A$120, MATCH(C39, Data!$B$2:$B$120, 0)),0)</f>
        <v>0</v>
      </c>
      <c r="C39" s="105">
        <f>Line!B64</f>
        <v>148</v>
      </c>
      <c r="D39" s="105">
        <f t="shared" ref="D39:D43" si="6">C39</f>
        <v>148</v>
      </c>
      <c r="E39" s="105" t="s">
        <v>249</v>
      </c>
      <c r="F39" s="105">
        <v>502</v>
      </c>
      <c r="G39" s="108">
        <v>0</v>
      </c>
      <c r="H39" s="105" t="s">
        <v>184</v>
      </c>
      <c r="I39" s="105" t="s">
        <v>185</v>
      </c>
      <c r="J39" s="105" t="s">
        <v>186</v>
      </c>
      <c r="K39" s="105" t="s">
        <v>187</v>
      </c>
      <c r="L39" s="105" t="s">
        <v>188</v>
      </c>
      <c r="M39" s="105" t="s">
        <v>189</v>
      </c>
      <c r="N39" s="105" t="s">
        <v>190</v>
      </c>
      <c r="O39" s="105" t="s">
        <v>191</v>
      </c>
      <c r="P39" s="105" t="s">
        <v>192</v>
      </c>
      <c r="Q39" s="105" t="s">
        <v>193</v>
      </c>
    </row>
    <row r="40" spans="1:17" x14ac:dyDescent="0.25">
      <c r="A40" s="105">
        <v>261</v>
      </c>
      <c r="B40" s="105">
        <f>IFERROR(INDEX(Data!$A$2:$A$120, MATCH(C40, Data!$B$2:$B$120, 0)),0)</f>
        <v>249</v>
      </c>
      <c r="C40" s="105">
        <f>Line!B63</f>
        <v>149</v>
      </c>
      <c r="D40" s="105">
        <f t="shared" si="6"/>
        <v>149</v>
      </c>
      <c r="E40" s="105" t="s">
        <v>249</v>
      </c>
      <c r="F40" s="105">
        <v>502</v>
      </c>
      <c r="G40" s="108">
        <v>0</v>
      </c>
      <c r="H40" s="105" t="s">
        <v>194</v>
      </c>
      <c r="I40" s="105" t="s">
        <v>195</v>
      </c>
      <c r="J40" s="105" t="s">
        <v>196</v>
      </c>
      <c r="K40" s="105" t="s">
        <v>197</v>
      </c>
      <c r="L40" s="105" t="s">
        <v>198</v>
      </c>
      <c r="M40" s="105" t="s">
        <v>199</v>
      </c>
      <c r="N40" s="105" t="s">
        <v>200</v>
      </c>
      <c r="O40" s="105" t="s">
        <v>201</v>
      </c>
      <c r="P40" s="105" t="s">
        <v>202</v>
      </c>
      <c r="Q40" s="105" t="s">
        <v>203</v>
      </c>
    </row>
    <row r="41" spans="1:17" x14ac:dyDescent="0.25">
      <c r="A41" s="105">
        <v>262</v>
      </c>
      <c r="B41" s="105">
        <f>IFERROR(INDEX(Data!$A$2:$A$120, MATCH(C41, Data!$B$2:$B$120, 0)),0)</f>
        <v>429</v>
      </c>
      <c r="C41" s="105">
        <f>Line!B62</f>
        <v>150</v>
      </c>
      <c r="D41" s="105">
        <f t="shared" si="6"/>
        <v>150</v>
      </c>
      <c r="E41" s="105" t="s">
        <v>249</v>
      </c>
      <c r="F41" s="105">
        <v>502</v>
      </c>
      <c r="G41" s="108">
        <v>0</v>
      </c>
      <c r="H41" s="105" t="s">
        <v>204</v>
      </c>
      <c r="I41" s="105" t="s">
        <v>205</v>
      </c>
      <c r="J41" s="105" t="s">
        <v>206</v>
      </c>
      <c r="K41" s="105" t="s">
        <v>207</v>
      </c>
      <c r="L41" s="105" t="s">
        <v>208</v>
      </c>
      <c r="M41" s="105" t="s">
        <v>209</v>
      </c>
      <c r="N41" s="105" t="s">
        <v>210</v>
      </c>
      <c r="O41" s="105" t="s">
        <v>211</v>
      </c>
      <c r="P41" s="105" t="s">
        <v>212</v>
      </c>
      <c r="Q41" s="105" t="s">
        <v>213</v>
      </c>
    </row>
    <row r="42" spans="1:17" x14ac:dyDescent="0.25">
      <c r="A42" s="105">
        <v>263</v>
      </c>
      <c r="B42" s="105">
        <f>IFERROR(INDEX(Data!$A$2:$A$120, MATCH(C42, Data!$B$2:$B$120, 0)),0)</f>
        <v>251</v>
      </c>
      <c r="C42" s="105">
        <f>Line!B61</f>
        <v>151</v>
      </c>
      <c r="D42" s="105">
        <f t="shared" si="6"/>
        <v>151</v>
      </c>
      <c r="E42" s="105" t="s">
        <v>249</v>
      </c>
      <c r="F42" s="105">
        <v>502</v>
      </c>
      <c r="G42" s="108">
        <v>0</v>
      </c>
      <c r="H42" s="105" t="s">
        <v>214</v>
      </c>
      <c r="I42" s="105" t="s">
        <v>215</v>
      </c>
      <c r="J42" s="105" t="s">
        <v>216</v>
      </c>
      <c r="K42" s="105" t="s">
        <v>217</v>
      </c>
      <c r="L42" s="105" t="s">
        <v>218</v>
      </c>
      <c r="M42" s="105" t="s">
        <v>219</v>
      </c>
      <c r="N42" s="105" t="s">
        <v>220</v>
      </c>
      <c r="O42" s="105" t="s">
        <v>221</v>
      </c>
      <c r="P42" s="105" t="s">
        <v>222</v>
      </c>
      <c r="Q42" s="105" t="s">
        <v>223</v>
      </c>
    </row>
    <row r="43" spans="1:17" x14ac:dyDescent="0.25">
      <c r="A43" s="105">
        <v>264</v>
      </c>
      <c r="B43" s="105">
        <f>IFERROR(INDEX(Data!$A$2:$A$120, MATCH(C43, Data!$B$2:$B$120, 0)),0)</f>
        <v>384</v>
      </c>
      <c r="C43" s="105">
        <f>Line!B60</f>
        <v>152</v>
      </c>
      <c r="D43" s="105">
        <f t="shared" si="6"/>
        <v>152</v>
      </c>
      <c r="E43" s="105" t="s">
        <v>249</v>
      </c>
      <c r="F43" s="105">
        <v>502</v>
      </c>
      <c r="G43" s="108">
        <v>0</v>
      </c>
      <c r="H43" s="105" t="s">
        <v>224</v>
      </c>
      <c r="I43" s="105" t="s">
        <v>225</v>
      </c>
      <c r="J43" s="105" t="s">
        <v>226</v>
      </c>
      <c r="K43" s="105" t="s">
        <v>227</v>
      </c>
      <c r="L43" s="105" t="s">
        <v>228</v>
      </c>
      <c r="M43" s="105" t="s">
        <v>229</v>
      </c>
      <c r="N43" s="105" t="s">
        <v>230</v>
      </c>
      <c r="O43" s="105" t="s">
        <v>231</v>
      </c>
      <c r="P43" s="105" t="s">
        <v>232</v>
      </c>
      <c r="Q43" s="105" t="s">
        <v>233</v>
      </c>
    </row>
    <row r="44" spans="1:17" x14ac:dyDescent="0.25">
      <c r="A44" s="103">
        <v>265</v>
      </c>
      <c r="B44" s="103">
        <f>IFERROR(INDEX(Data!$A$2:$A$120, MATCH(C44, Data!$B$2:$B$120, 0)),0)</f>
        <v>0</v>
      </c>
      <c r="C44" s="103">
        <f>Line!B71</f>
        <v>141</v>
      </c>
      <c r="D44" s="103">
        <f>C44</f>
        <v>141</v>
      </c>
      <c r="E44" s="103" t="s">
        <v>250</v>
      </c>
      <c r="F44" s="103">
        <v>502</v>
      </c>
      <c r="G44" s="98">
        <v>0</v>
      </c>
      <c r="H44" s="103" t="s">
        <v>235</v>
      </c>
      <c r="I44" s="103" t="s">
        <v>236</v>
      </c>
      <c r="J44" s="103" t="s">
        <v>237</v>
      </c>
      <c r="K44" s="103" t="s">
        <v>238</v>
      </c>
      <c r="L44" s="103" t="s">
        <v>239</v>
      </c>
      <c r="M44" s="103" t="s">
        <v>240</v>
      </c>
      <c r="N44" s="103" t="s">
        <v>241</v>
      </c>
      <c r="O44" s="103" t="s">
        <v>242</v>
      </c>
      <c r="P44" s="103" t="s">
        <v>243</v>
      </c>
      <c r="Q44" s="103" t="s">
        <v>244</v>
      </c>
    </row>
    <row r="45" spans="1:17" x14ac:dyDescent="0.25">
      <c r="A45" s="103">
        <v>266</v>
      </c>
      <c r="B45" s="103">
        <f>IFERROR(INDEX(Data!$A$2:$A$120, MATCH(C45, Data!$B$2:$B$120, 0)),0)</f>
        <v>361</v>
      </c>
      <c r="C45" s="103">
        <f>Line!B70</f>
        <v>142</v>
      </c>
      <c r="D45" s="103">
        <f t="shared" ref="D45:D49" si="7">C45</f>
        <v>142</v>
      </c>
      <c r="E45" s="103" t="s">
        <v>250</v>
      </c>
      <c r="F45" s="103">
        <v>502</v>
      </c>
      <c r="G45" s="98">
        <v>0</v>
      </c>
      <c r="H45" s="103" t="s">
        <v>184</v>
      </c>
      <c r="I45" s="103" t="s">
        <v>185</v>
      </c>
      <c r="J45" s="103" t="s">
        <v>186</v>
      </c>
      <c r="K45" s="103" t="s">
        <v>187</v>
      </c>
      <c r="L45" s="103" t="s">
        <v>188</v>
      </c>
      <c r="M45" s="103" t="s">
        <v>189</v>
      </c>
      <c r="N45" s="103" t="s">
        <v>190</v>
      </c>
      <c r="O45" s="103" t="s">
        <v>191</v>
      </c>
      <c r="P45" s="103" t="s">
        <v>192</v>
      </c>
      <c r="Q45" s="103" t="s">
        <v>193</v>
      </c>
    </row>
    <row r="46" spans="1:17" x14ac:dyDescent="0.25">
      <c r="A46" s="103">
        <v>267</v>
      </c>
      <c r="B46" s="103">
        <f>IFERROR(INDEX(Data!$A$2:$A$120, MATCH(C46, Data!$B$2:$B$120, 0)),0)</f>
        <v>430</v>
      </c>
      <c r="C46" s="103">
        <f>Line!B69</f>
        <v>143</v>
      </c>
      <c r="D46" s="103">
        <f t="shared" si="7"/>
        <v>143</v>
      </c>
      <c r="E46" s="103" t="s">
        <v>250</v>
      </c>
      <c r="F46" s="103">
        <v>502</v>
      </c>
      <c r="G46" s="98">
        <v>0</v>
      </c>
      <c r="H46" s="103" t="s">
        <v>194</v>
      </c>
      <c r="I46" s="103" t="s">
        <v>195</v>
      </c>
      <c r="J46" s="103" t="s">
        <v>196</v>
      </c>
      <c r="K46" s="103" t="s">
        <v>197</v>
      </c>
      <c r="L46" s="103" t="s">
        <v>198</v>
      </c>
      <c r="M46" s="103" t="s">
        <v>199</v>
      </c>
      <c r="N46" s="103" t="s">
        <v>200</v>
      </c>
      <c r="O46" s="103" t="s">
        <v>201</v>
      </c>
      <c r="P46" s="103" t="s">
        <v>202</v>
      </c>
      <c r="Q46" s="103" t="s">
        <v>203</v>
      </c>
    </row>
    <row r="47" spans="1:17" x14ac:dyDescent="0.25">
      <c r="A47" s="103">
        <v>268</v>
      </c>
      <c r="B47" s="103">
        <f>IFERROR(INDEX(Data!$A$2:$A$120, MATCH(C47, Data!$B$2:$B$120, 0)),0)</f>
        <v>419</v>
      </c>
      <c r="C47" s="103">
        <f>Line!B68</f>
        <v>144</v>
      </c>
      <c r="D47" s="103">
        <f t="shared" si="7"/>
        <v>144</v>
      </c>
      <c r="E47" s="103" t="s">
        <v>250</v>
      </c>
      <c r="F47" s="103">
        <v>502</v>
      </c>
      <c r="G47" s="98">
        <v>0</v>
      </c>
      <c r="H47" s="103" t="s">
        <v>204</v>
      </c>
      <c r="I47" s="103" t="s">
        <v>205</v>
      </c>
      <c r="J47" s="103" t="s">
        <v>206</v>
      </c>
      <c r="K47" s="103" t="s">
        <v>207</v>
      </c>
      <c r="L47" s="103" t="s">
        <v>208</v>
      </c>
      <c r="M47" s="103" t="s">
        <v>209</v>
      </c>
      <c r="N47" s="103" t="s">
        <v>210</v>
      </c>
      <c r="O47" s="103" t="s">
        <v>211</v>
      </c>
      <c r="P47" s="103" t="s">
        <v>212</v>
      </c>
      <c r="Q47" s="103" t="s">
        <v>213</v>
      </c>
    </row>
    <row r="48" spans="1:17" x14ac:dyDescent="0.25">
      <c r="A48" s="103">
        <v>269</v>
      </c>
      <c r="B48" s="103">
        <f>IFERROR(INDEX(Data!$A$2:$A$120, MATCH(C48, Data!$B$2:$B$120, 0)),0)</f>
        <v>408</v>
      </c>
      <c r="C48" s="103">
        <f>Line!B67</f>
        <v>145</v>
      </c>
      <c r="D48" s="103">
        <f t="shared" si="7"/>
        <v>145</v>
      </c>
      <c r="E48" s="103" t="s">
        <v>250</v>
      </c>
      <c r="F48" s="103">
        <v>502</v>
      </c>
      <c r="G48" s="98">
        <v>0</v>
      </c>
      <c r="H48" s="103" t="s">
        <v>214</v>
      </c>
      <c r="I48" s="103" t="s">
        <v>215</v>
      </c>
      <c r="J48" s="103" t="s">
        <v>216</v>
      </c>
      <c r="K48" s="103" t="s">
        <v>217</v>
      </c>
      <c r="L48" s="103" t="s">
        <v>218</v>
      </c>
      <c r="M48" s="103" t="s">
        <v>219</v>
      </c>
      <c r="N48" s="103" t="s">
        <v>220</v>
      </c>
      <c r="O48" s="103" t="s">
        <v>221</v>
      </c>
      <c r="P48" s="103" t="s">
        <v>222</v>
      </c>
      <c r="Q48" s="103" t="s">
        <v>223</v>
      </c>
    </row>
    <row r="49" spans="1:17" x14ac:dyDescent="0.25">
      <c r="A49" s="103">
        <v>270</v>
      </c>
      <c r="B49" s="103">
        <f>IFERROR(INDEX(Data!$A$2:$A$120, MATCH(C49, Data!$B$2:$B$120, 0)),0)</f>
        <v>457</v>
      </c>
      <c r="C49" s="103">
        <f>Line!B66</f>
        <v>146</v>
      </c>
      <c r="D49" s="103">
        <f t="shared" si="7"/>
        <v>146</v>
      </c>
      <c r="E49" s="103" t="s">
        <v>250</v>
      </c>
      <c r="F49" s="103">
        <v>502</v>
      </c>
      <c r="G49" s="98">
        <v>0</v>
      </c>
      <c r="H49" s="103" t="s">
        <v>224</v>
      </c>
      <c r="I49" s="103" t="s">
        <v>225</v>
      </c>
      <c r="J49" s="103" t="s">
        <v>226</v>
      </c>
      <c r="K49" s="103" t="s">
        <v>227</v>
      </c>
      <c r="L49" s="103" t="s">
        <v>228</v>
      </c>
      <c r="M49" s="103" t="s">
        <v>229</v>
      </c>
      <c r="N49" s="103" t="s">
        <v>230</v>
      </c>
      <c r="O49" s="103" t="s">
        <v>231</v>
      </c>
      <c r="P49" s="103" t="s">
        <v>232</v>
      </c>
      <c r="Q49" s="103" t="s">
        <v>233</v>
      </c>
    </row>
    <row r="50" spans="1:17" x14ac:dyDescent="0.25">
      <c r="A50" s="106">
        <v>271</v>
      </c>
      <c r="B50" s="106">
        <f>IFERROR(INDEX(Data!$A$2:$A$120, MATCH(C50, Data!$B$2:$B$120, 0)),0)</f>
        <v>273</v>
      </c>
      <c r="C50" s="106">
        <f>Line!B41</f>
        <v>101</v>
      </c>
      <c r="D50" s="106">
        <f>C50</f>
        <v>101</v>
      </c>
      <c r="E50" s="106" t="s">
        <v>251</v>
      </c>
      <c r="F50" s="106">
        <v>502</v>
      </c>
      <c r="G50" s="102">
        <v>0</v>
      </c>
      <c r="H50" s="106" t="s">
        <v>235</v>
      </c>
      <c r="I50" s="106" t="s">
        <v>236</v>
      </c>
      <c r="J50" s="106" t="s">
        <v>237</v>
      </c>
      <c r="K50" s="106" t="s">
        <v>238</v>
      </c>
      <c r="L50" s="106" t="s">
        <v>239</v>
      </c>
      <c r="M50" s="106" t="s">
        <v>240</v>
      </c>
      <c r="N50" s="106" t="s">
        <v>241</v>
      </c>
      <c r="O50" s="106" t="s">
        <v>242</v>
      </c>
      <c r="P50" s="106" t="s">
        <v>243</v>
      </c>
      <c r="Q50" s="106" t="s">
        <v>244</v>
      </c>
    </row>
    <row r="51" spans="1:17" x14ac:dyDescent="0.25">
      <c r="A51" s="106">
        <v>272</v>
      </c>
      <c r="B51" s="106">
        <f>IFERROR(INDEX(Data!$A$2:$A$120, MATCH(C51, Data!$B$2:$B$120, 0)),0)</f>
        <v>371</v>
      </c>
      <c r="C51" s="106">
        <f>Line!B40</f>
        <v>102</v>
      </c>
      <c r="D51" s="106">
        <f t="shared" ref="D51:D55" si="8">C51</f>
        <v>102</v>
      </c>
      <c r="E51" s="106" t="s">
        <v>251</v>
      </c>
      <c r="F51" s="106">
        <v>502</v>
      </c>
      <c r="G51" s="102">
        <v>0</v>
      </c>
      <c r="H51" s="106" t="s">
        <v>184</v>
      </c>
      <c r="I51" s="106" t="s">
        <v>185</v>
      </c>
      <c r="J51" s="106" t="s">
        <v>186</v>
      </c>
      <c r="K51" s="106" t="s">
        <v>187</v>
      </c>
      <c r="L51" s="106" t="s">
        <v>188</v>
      </c>
      <c r="M51" s="106" t="s">
        <v>189</v>
      </c>
      <c r="N51" s="106" t="s">
        <v>190</v>
      </c>
      <c r="O51" s="106" t="s">
        <v>191</v>
      </c>
      <c r="P51" s="106" t="s">
        <v>192</v>
      </c>
      <c r="Q51" s="106" t="s">
        <v>193</v>
      </c>
    </row>
    <row r="52" spans="1:17" x14ac:dyDescent="0.25">
      <c r="A52" s="106">
        <v>273</v>
      </c>
      <c r="B52" s="106">
        <f>IFERROR(INDEX(Data!$A$2:$A$120, MATCH(C52, Data!$B$2:$B$120, 0)),0)</f>
        <v>364</v>
      </c>
      <c r="C52" s="106">
        <f>Line!B39</f>
        <v>103</v>
      </c>
      <c r="D52" s="106">
        <f t="shared" si="8"/>
        <v>103</v>
      </c>
      <c r="E52" s="106" t="s">
        <v>251</v>
      </c>
      <c r="F52" s="106">
        <v>502</v>
      </c>
      <c r="G52" s="102">
        <v>0</v>
      </c>
      <c r="H52" s="106" t="s">
        <v>194</v>
      </c>
      <c r="I52" s="106" t="s">
        <v>195</v>
      </c>
      <c r="J52" s="106" t="s">
        <v>196</v>
      </c>
      <c r="K52" s="106" t="s">
        <v>197</v>
      </c>
      <c r="L52" s="106" t="s">
        <v>198</v>
      </c>
      <c r="M52" s="106" t="s">
        <v>199</v>
      </c>
      <c r="N52" s="106" t="s">
        <v>200</v>
      </c>
      <c r="O52" s="106" t="s">
        <v>201</v>
      </c>
      <c r="P52" s="106" t="s">
        <v>202</v>
      </c>
      <c r="Q52" s="106" t="s">
        <v>203</v>
      </c>
    </row>
    <row r="53" spans="1:17" x14ac:dyDescent="0.25">
      <c r="A53" s="106">
        <v>274</v>
      </c>
      <c r="B53" s="106">
        <f>IFERROR(INDEX(Data!$A$2:$A$120, MATCH(C53, Data!$B$2:$B$120, 0)),0)</f>
        <v>360</v>
      </c>
      <c r="C53" s="106">
        <f>Line!B38</f>
        <v>104</v>
      </c>
      <c r="D53" s="106">
        <f t="shared" si="8"/>
        <v>104</v>
      </c>
      <c r="E53" s="106" t="s">
        <v>251</v>
      </c>
      <c r="F53" s="106">
        <v>502</v>
      </c>
      <c r="G53" s="102">
        <v>0</v>
      </c>
      <c r="H53" s="106" t="s">
        <v>204</v>
      </c>
      <c r="I53" s="106" t="s">
        <v>205</v>
      </c>
      <c r="J53" s="106" t="s">
        <v>206</v>
      </c>
      <c r="K53" s="106" t="s">
        <v>207</v>
      </c>
      <c r="L53" s="106" t="s">
        <v>208</v>
      </c>
      <c r="M53" s="106" t="s">
        <v>209</v>
      </c>
      <c r="N53" s="106" t="s">
        <v>210</v>
      </c>
      <c r="O53" s="106" t="s">
        <v>211</v>
      </c>
      <c r="P53" s="106" t="s">
        <v>212</v>
      </c>
      <c r="Q53" s="106" t="s">
        <v>213</v>
      </c>
    </row>
    <row r="54" spans="1:17" x14ac:dyDescent="0.25">
      <c r="A54" s="106">
        <v>275</v>
      </c>
      <c r="B54" s="106">
        <f>IFERROR(INDEX(Data!$A$2:$A$120, MATCH(C54, Data!$B$2:$B$120, 0)),0)</f>
        <v>198</v>
      </c>
      <c r="C54" s="106">
        <f>Line!B37</f>
        <v>105</v>
      </c>
      <c r="D54" s="106">
        <f t="shared" si="8"/>
        <v>105</v>
      </c>
      <c r="E54" s="106" t="s">
        <v>251</v>
      </c>
      <c r="F54" s="106">
        <v>502</v>
      </c>
      <c r="G54" s="102">
        <v>0</v>
      </c>
      <c r="H54" s="106" t="s">
        <v>214</v>
      </c>
      <c r="I54" s="106" t="s">
        <v>215</v>
      </c>
      <c r="J54" s="106" t="s">
        <v>216</v>
      </c>
      <c r="K54" s="106" t="s">
        <v>217</v>
      </c>
      <c r="L54" s="106" t="s">
        <v>218</v>
      </c>
      <c r="M54" s="106" t="s">
        <v>219</v>
      </c>
      <c r="N54" s="106" t="s">
        <v>220</v>
      </c>
      <c r="O54" s="106" t="s">
        <v>221</v>
      </c>
      <c r="P54" s="106" t="s">
        <v>222</v>
      </c>
      <c r="Q54" s="106" t="s">
        <v>223</v>
      </c>
    </row>
    <row r="55" spans="1:17" x14ac:dyDescent="0.25">
      <c r="A55" s="106">
        <v>276</v>
      </c>
      <c r="B55" s="106">
        <f>IFERROR(INDEX(Data!$A$2:$A$120, MATCH(C55, Data!$B$2:$B$120, 0)),0)</f>
        <v>363</v>
      </c>
      <c r="C55" s="106">
        <f>Line!B36</f>
        <v>106</v>
      </c>
      <c r="D55" s="106">
        <f t="shared" si="8"/>
        <v>106</v>
      </c>
      <c r="E55" s="106" t="s">
        <v>251</v>
      </c>
      <c r="F55" s="106">
        <v>502</v>
      </c>
      <c r="G55" s="102">
        <v>0</v>
      </c>
      <c r="H55" s="106" t="s">
        <v>224</v>
      </c>
      <c r="I55" s="106" t="s">
        <v>225</v>
      </c>
      <c r="J55" s="106" t="s">
        <v>226</v>
      </c>
      <c r="K55" s="106" t="s">
        <v>227</v>
      </c>
      <c r="L55" s="106" t="s">
        <v>228</v>
      </c>
      <c r="M55" s="106" t="s">
        <v>229</v>
      </c>
      <c r="N55" s="106" t="s">
        <v>230</v>
      </c>
      <c r="O55" s="106" t="s">
        <v>231</v>
      </c>
      <c r="P55" s="106" t="s">
        <v>232</v>
      </c>
      <c r="Q55" s="106" t="s">
        <v>233</v>
      </c>
    </row>
    <row r="56" spans="1:17" x14ac:dyDescent="0.25">
      <c r="A56" s="103">
        <v>277</v>
      </c>
      <c r="B56" s="103">
        <f>IFERROR(INDEX(Data!$A$2:$A$120, MATCH(C56, Data!$B$2:$B$120, 0)),0)</f>
        <v>415</v>
      </c>
      <c r="C56" s="103">
        <f>Line!B30</f>
        <v>112</v>
      </c>
      <c r="D56" s="103">
        <f>C56</f>
        <v>112</v>
      </c>
      <c r="E56" s="103" t="s">
        <v>252</v>
      </c>
      <c r="F56" s="103">
        <v>502</v>
      </c>
      <c r="G56" s="98">
        <v>0</v>
      </c>
      <c r="H56" s="103" t="s">
        <v>235</v>
      </c>
      <c r="I56" s="103" t="s">
        <v>236</v>
      </c>
      <c r="J56" s="103" t="s">
        <v>237</v>
      </c>
      <c r="K56" s="103" t="s">
        <v>238</v>
      </c>
      <c r="L56" s="103" t="s">
        <v>239</v>
      </c>
      <c r="M56" s="103" t="s">
        <v>240</v>
      </c>
      <c r="N56" s="103" t="s">
        <v>241</v>
      </c>
      <c r="O56" s="103" t="s">
        <v>242</v>
      </c>
      <c r="P56" s="103" t="s">
        <v>243</v>
      </c>
      <c r="Q56" s="103" t="s">
        <v>244</v>
      </c>
    </row>
    <row r="57" spans="1:17" x14ac:dyDescent="0.25">
      <c r="A57" s="103">
        <v>278</v>
      </c>
      <c r="B57" s="103">
        <f>IFERROR(INDEX(Data!$A$2:$A$120, MATCH(C57, Data!$B$2:$B$120, 0)),0)</f>
        <v>240</v>
      </c>
      <c r="C57" s="103">
        <f>Line!B31</f>
        <v>111</v>
      </c>
      <c r="D57" s="103">
        <f t="shared" ref="D57:D61" si="9">C57</f>
        <v>111</v>
      </c>
      <c r="E57" s="103" t="s">
        <v>252</v>
      </c>
      <c r="F57" s="103">
        <v>502</v>
      </c>
      <c r="G57" s="98">
        <v>0</v>
      </c>
      <c r="H57" s="103" t="s">
        <v>184</v>
      </c>
      <c r="I57" s="103" t="s">
        <v>185</v>
      </c>
      <c r="J57" s="103" t="s">
        <v>186</v>
      </c>
      <c r="K57" s="103" t="s">
        <v>187</v>
      </c>
      <c r="L57" s="103" t="s">
        <v>188</v>
      </c>
      <c r="M57" s="103" t="s">
        <v>189</v>
      </c>
      <c r="N57" s="103" t="s">
        <v>190</v>
      </c>
      <c r="O57" s="103" t="s">
        <v>191</v>
      </c>
      <c r="P57" s="103" t="s">
        <v>192</v>
      </c>
      <c r="Q57" s="103" t="s">
        <v>193</v>
      </c>
    </row>
    <row r="58" spans="1:17" x14ac:dyDescent="0.25">
      <c r="A58" s="103">
        <v>279</v>
      </c>
      <c r="B58" s="103">
        <f>IFERROR(INDEX(Data!$A$2:$A$120, MATCH(C58, Data!$B$2:$B$120, 0)),0)</f>
        <v>367</v>
      </c>
      <c r="C58" s="103">
        <f>Line!B32</f>
        <v>110</v>
      </c>
      <c r="D58" s="103">
        <f t="shared" si="9"/>
        <v>110</v>
      </c>
      <c r="E58" s="103" t="s">
        <v>252</v>
      </c>
      <c r="F58" s="103">
        <v>502</v>
      </c>
      <c r="G58" s="98">
        <v>0</v>
      </c>
      <c r="H58" s="103" t="s">
        <v>194</v>
      </c>
      <c r="I58" s="103" t="s">
        <v>195</v>
      </c>
      <c r="J58" s="103" t="s">
        <v>196</v>
      </c>
      <c r="K58" s="103" t="s">
        <v>197</v>
      </c>
      <c r="L58" s="103" t="s">
        <v>198</v>
      </c>
      <c r="M58" s="103" t="s">
        <v>199</v>
      </c>
      <c r="N58" s="103" t="s">
        <v>200</v>
      </c>
      <c r="O58" s="103" t="s">
        <v>201</v>
      </c>
      <c r="P58" s="103" t="s">
        <v>202</v>
      </c>
      <c r="Q58" s="103" t="s">
        <v>203</v>
      </c>
    </row>
    <row r="59" spans="1:17" x14ac:dyDescent="0.25">
      <c r="A59" s="103">
        <v>280</v>
      </c>
      <c r="B59" s="103">
        <f>IFERROR(INDEX(Data!$A$2:$A$120, MATCH(C59, Data!$B$2:$B$120, 0)),0)</f>
        <v>388</v>
      </c>
      <c r="C59" s="103">
        <f>Line!B33</f>
        <v>109</v>
      </c>
      <c r="D59" s="103">
        <f t="shared" si="9"/>
        <v>109</v>
      </c>
      <c r="E59" s="103" t="s">
        <v>252</v>
      </c>
      <c r="F59" s="103">
        <v>502</v>
      </c>
      <c r="G59" s="98">
        <v>0</v>
      </c>
      <c r="H59" s="103" t="s">
        <v>204</v>
      </c>
      <c r="I59" s="103" t="s">
        <v>205</v>
      </c>
      <c r="J59" s="103" t="s">
        <v>206</v>
      </c>
      <c r="K59" s="103" t="s">
        <v>207</v>
      </c>
      <c r="L59" s="103" t="s">
        <v>208</v>
      </c>
      <c r="M59" s="103" t="s">
        <v>209</v>
      </c>
      <c r="N59" s="103" t="s">
        <v>210</v>
      </c>
      <c r="O59" s="103" t="s">
        <v>211</v>
      </c>
      <c r="P59" s="103" t="s">
        <v>212</v>
      </c>
      <c r="Q59" s="103" t="s">
        <v>213</v>
      </c>
    </row>
    <row r="60" spans="1:17" x14ac:dyDescent="0.25">
      <c r="A60" s="103">
        <v>281</v>
      </c>
      <c r="B60" s="103">
        <f>IFERROR(INDEX(Data!$A$2:$A$120, MATCH(C60, Data!$B$2:$B$120, 0)),0)</f>
        <v>472</v>
      </c>
      <c r="C60" s="103">
        <f>Line!B34</f>
        <v>108</v>
      </c>
      <c r="D60" s="103">
        <f t="shared" si="9"/>
        <v>108</v>
      </c>
      <c r="E60" s="103" t="s">
        <v>252</v>
      </c>
      <c r="F60" s="103">
        <v>502</v>
      </c>
      <c r="G60" s="98">
        <v>0</v>
      </c>
      <c r="H60" s="103" t="s">
        <v>214</v>
      </c>
      <c r="I60" s="103" t="s">
        <v>215</v>
      </c>
      <c r="J60" s="103" t="s">
        <v>216</v>
      </c>
      <c r="K60" s="103" t="s">
        <v>217</v>
      </c>
      <c r="L60" s="103" t="s">
        <v>218</v>
      </c>
      <c r="M60" s="103" t="s">
        <v>219</v>
      </c>
      <c r="N60" s="103" t="s">
        <v>220</v>
      </c>
      <c r="O60" s="103" t="s">
        <v>221</v>
      </c>
      <c r="P60" s="103" t="s">
        <v>222</v>
      </c>
      <c r="Q60" s="103" t="s">
        <v>223</v>
      </c>
    </row>
    <row r="61" spans="1:17" x14ac:dyDescent="0.25">
      <c r="A61" s="103">
        <v>282</v>
      </c>
      <c r="B61" s="103">
        <f>IFERROR(INDEX(Data!$A$2:$A$120, MATCH(C61, Data!$B$2:$B$120, 0)),0)</f>
        <v>386</v>
      </c>
      <c r="C61" s="103">
        <f>Line!B35</f>
        <v>107</v>
      </c>
      <c r="D61" s="103">
        <f t="shared" si="9"/>
        <v>107</v>
      </c>
      <c r="E61" s="103" t="s">
        <v>252</v>
      </c>
      <c r="F61" s="103">
        <v>502</v>
      </c>
      <c r="G61" s="98">
        <v>0</v>
      </c>
      <c r="H61" s="103" t="s">
        <v>224</v>
      </c>
      <c r="I61" s="103" t="s">
        <v>225</v>
      </c>
      <c r="J61" s="103" t="s">
        <v>226</v>
      </c>
      <c r="K61" s="103" t="s">
        <v>227</v>
      </c>
      <c r="L61" s="103" t="s">
        <v>228</v>
      </c>
      <c r="M61" s="103" t="s">
        <v>229</v>
      </c>
      <c r="N61" s="103" t="s">
        <v>230</v>
      </c>
      <c r="O61" s="103" t="s">
        <v>231</v>
      </c>
      <c r="P61" s="103" t="s">
        <v>232</v>
      </c>
      <c r="Q61" s="103" t="s">
        <v>233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nicMapper">
                <anchor moveWithCells="1" sizeWithCells="1">
                  <from>
                    <xdr:col>18</xdr:col>
                    <xdr:colOff>390525</xdr:colOff>
                    <xdr:row>9</xdr:row>
                    <xdr:rowOff>85725</xdr:rowOff>
                  </from>
                  <to>
                    <xdr:col>20</xdr:col>
                    <xdr:colOff>514350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A24"/>
  <sheetViews>
    <sheetView tabSelected="1" topLeftCell="A4" zoomScale="114" workbookViewId="0">
      <selection activeCell="O25" sqref="O25"/>
    </sheetView>
  </sheetViews>
  <sheetFormatPr defaultRowHeight="15" x14ac:dyDescent="0.25"/>
  <cols>
    <col min="2" max="2" width="10.42578125" bestFit="1" customWidth="1"/>
  </cols>
  <sheetData>
    <row r="1" spans="2:10" x14ac:dyDescent="0.25">
      <c r="B1" s="117"/>
      <c r="C1" s="117">
        <v>1</v>
      </c>
      <c r="D1" s="117">
        <v>2</v>
      </c>
      <c r="E1" s="117">
        <v>3</v>
      </c>
      <c r="F1" s="117">
        <v>4</v>
      </c>
      <c r="G1" s="117">
        <v>5</v>
      </c>
      <c r="H1" s="117">
        <v>6</v>
      </c>
    </row>
    <row r="2" spans="2:10" x14ac:dyDescent="0.25">
      <c r="B2" s="117" t="s">
        <v>266</v>
      </c>
      <c r="C2" s="117"/>
      <c r="D2" s="117"/>
      <c r="E2" s="117"/>
      <c r="F2" s="117"/>
      <c r="G2" s="117"/>
      <c r="H2" s="117"/>
    </row>
    <row r="3" spans="2:10" x14ac:dyDescent="0.25">
      <c r="B3" s="118" t="s">
        <v>267</v>
      </c>
      <c r="C3" s="119">
        <f>AutonicMapper!C38</f>
        <v>147</v>
      </c>
      <c r="D3" s="119">
        <f>AutonicMapper!C39</f>
        <v>148</v>
      </c>
      <c r="E3" s="119">
        <f>AutonicMapper!C40</f>
        <v>149</v>
      </c>
      <c r="F3" s="119">
        <f>AutonicMapper!C41</f>
        <v>150</v>
      </c>
      <c r="G3" s="119">
        <f>AutonicMapper!C42</f>
        <v>151</v>
      </c>
      <c r="H3" s="119">
        <f>AutonicMapper!C43</f>
        <v>152</v>
      </c>
      <c r="J3" t="s">
        <v>267</v>
      </c>
    </row>
    <row r="4" spans="2:10" x14ac:dyDescent="0.25">
      <c r="B4" s="118" t="s">
        <v>268</v>
      </c>
      <c r="C4" s="118">
        <f>IFERROR(INDEX(Data!$A$2:$A$130, MATCH(C3, Data!$B$2:$B$130, 0)),0)</f>
        <v>356</v>
      </c>
      <c r="D4" s="118">
        <f>IFERROR(INDEX(Data!$A$2:$A$130, MATCH(D3, Data!$B$2:$B$130, 0)),0)</f>
        <v>0</v>
      </c>
      <c r="E4" s="118">
        <f>IFERROR(INDEX(Data!$A$2:$A$130, MATCH(E3, Data!$B$2:$B$130, 0)),0)</f>
        <v>249</v>
      </c>
      <c r="F4" s="118">
        <f>IFERROR(INDEX(Data!$A$2:$A$130, MATCH(F3, Data!$B$2:$B$130, 0)),0)</f>
        <v>429</v>
      </c>
      <c r="G4" s="118">
        <f>IFERROR(INDEX(Data!$A$2:$A$130, MATCH(G3, Data!$B$2:$B$130, 0)),0)</f>
        <v>251</v>
      </c>
      <c r="H4" s="118">
        <f>IFERROR(INDEX(Data!$A$2:$A$130, MATCH(H3, Data!$B$2:$B$130, 0)),0)</f>
        <v>384</v>
      </c>
      <c r="J4" t="s">
        <v>279</v>
      </c>
    </row>
    <row r="5" spans="2:10" x14ac:dyDescent="0.25">
      <c r="B5" s="120" t="s">
        <v>267</v>
      </c>
      <c r="C5" s="121">
        <f>AutonicMapper!C44</f>
        <v>141</v>
      </c>
      <c r="D5" s="121">
        <f>AutonicMapper!C45</f>
        <v>142</v>
      </c>
      <c r="E5" s="121">
        <f>AutonicMapper!C46</f>
        <v>143</v>
      </c>
      <c r="F5" s="121">
        <f>AutonicMapper!C47</f>
        <v>144</v>
      </c>
      <c r="G5" s="121">
        <f>AutonicMapper!C48</f>
        <v>145</v>
      </c>
      <c r="H5" s="121">
        <f>AutonicMapper!C49</f>
        <v>146</v>
      </c>
      <c r="J5" t="s">
        <v>267</v>
      </c>
    </row>
    <row r="6" spans="2:10" x14ac:dyDescent="0.25">
      <c r="B6" s="120" t="s">
        <v>269</v>
      </c>
      <c r="C6" s="120">
        <f>IFERROR(INDEX(Data!$A$2:$A$130, MATCH(C5, Data!$B$2:$B$130, 0)),0)</f>
        <v>0</v>
      </c>
      <c r="D6" s="120">
        <f>IFERROR(INDEX(Data!$A$2:$A$130, MATCH(D5, Data!$B$2:$B$130, 0)),0)</f>
        <v>361</v>
      </c>
      <c r="E6" s="120">
        <f>IFERROR(INDEX(Data!$A$2:$A$130, MATCH(E5, Data!$B$2:$B$130, 0)),0)</f>
        <v>430</v>
      </c>
      <c r="F6" s="120">
        <f>IFERROR(INDEX(Data!$A$2:$A$130, MATCH(F5, Data!$B$2:$B$130, 0)),0)</f>
        <v>419</v>
      </c>
      <c r="G6" s="120">
        <f>IFERROR(INDEX(Data!$A$2:$A$130, MATCH(G5, Data!$B$2:$B$130, 0)),0)</f>
        <v>408</v>
      </c>
      <c r="H6" s="120">
        <f>IFERROR(INDEX(Data!$A$2:$A$130, MATCH(H5, Data!$B$2:$B$130, 0)),0)</f>
        <v>457</v>
      </c>
      <c r="J6" t="s">
        <v>280</v>
      </c>
    </row>
    <row r="7" spans="2:10" x14ac:dyDescent="0.25">
      <c r="B7" s="122" t="s">
        <v>267</v>
      </c>
      <c r="C7" s="123">
        <f>AutonicMapper!C32</f>
        <v>159</v>
      </c>
      <c r="D7" s="123">
        <f>AutonicMapper!C33</f>
        <v>158</v>
      </c>
      <c r="E7" s="123">
        <f>AutonicMapper!C34</f>
        <v>154</v>
      </c>
      <c r="F7" s="123">
        <f>AutonicMapper!C35</f>
        <v>153</v>
      </c>
      <c r="G7" s="123">
        <f>AutonicMapper!C36</f>
        <v>0</v>
      </c>
      <c r="H7" s="123">
        <f>AutonicMapper!C37</f>
        <v>0</v>
      </c>
    </row>
    <row r="8" spans="2:10" x14ac:dyDescent="0.25">
      <c r="B8" s="122" t="s">
        <v>270</v>
      </c>
      <c r="C8" s="122">
        <f>IFERROR(INDEX(Data!$A$2:$A$130, MATCH(C7, Data!$B$2:$B$130, 0)),0)</f>
        <v>460</v>
      </c>
      <c r="D8" s="122">
        <f>IFERROR(INDEX(Data!$A$2:$A$130, MATCH(D7, Data!$B$2:$B$130, 0)),0)</f>
        <v>0</v>
      </c>
      <c r="E8" s="122">
        <f>IFERROR(INDEX(Data!$A$2:$A$130, MATCH(E7, Data!$B$2:$B$130, 0)),0)</f>
        <v>241</v>
      </c>
      <c r="F8" s="122">
        <f>IFERROR(INDEX(Data!$A$2:$A$130, MATCH(F7, Data!$B$2:$B$130, 0)),0)</f>
        <v>427</v>
      </c>
      <c r="G8" s="122">
        <f>IFERROR(INDEX(Data!$A$2:$A$130, MATCH(G7, Data!$B$2:$B$130, 0)),0)</f>
        <v>0</v>
      </c>
      <c r="H8" s="122">
        <f>IFERROR(INDEX(Data!$A$2:$A$130, MATCH(H7, Data!$B$2:$B$130, 0)),0)</f>
        <v>0</v>
      </c>
    </row>
    <row r="9" spans="2:10" x14ac:dyDescent="0.25">
      <c r="B9" s="124" t="s">
        <v>267</v>
      </c>
      <c r="C9" s="125">
        <f>AutonicMapper!C50</f>
        <v>101</v>
      </c>
      <c r="D9" s="125">
        <f>AutonicMapper!C51</f>
        <v>102</v>
      </c>
      <c r="E9" s="125">
        <f>AutonicMapper!C52</f>
        <v>103</v>
      </c>
      <c r="F9" s="125">
        <f>AutonicMapper!C53</f>
        <v>104</v>
      </c>
      <c r="G9" s="125">
        <f>AutonicMapper!C54</f>
        <v>105</v>
      </c>
      <c r="H9" s="125">
        <f>AutonicMapper!C55</f>
        <v>106</v>
      </c>
    </row>
    <row r="10" spans="2:10" x14ac:dyDescent="0.25">
      <c r="B10" s="124" t="s">
        <v>271</v>
      </c>
      <c r="C10" s="124">
        <f>IFERROR(INDEX(Data!$A$2:$A$130, MATCH(C9, Data!$B$2:$B$130, 0)),0)</f>
        <v>273</v>
      </c>
      <c r="D10" s="124">
        <f>IFERROR(INDEX(Data!$A$2:$A$130, MATCH(D9, Data!$B$2:$B$130, 0)),0)</f>
        <v>371</v>
      </c>
      <c r="E10" s="124">
        <f>IFERROR(INDEX(Data!$A$2:$A$130, MATCH(E9, Data!$B$2:$B$130, 0)),0)</f>
        <v>364</v>
      </c>
      <c r="F10" s="124">
        <f>IFERROR(INDEX(Data!$A$2:$A$130, MATCH(F9, Data!$B$2:$B$130, 0)),0)</f>
        <v>360</v>
      </c>
      <c r="G10" s="124">
        <f>IFERROR(INDEX(Data!$A$2:$A$130, MATCH(G9, Data!$B$2:$B$130, 0)),0)</f>
        <v>198</v>
      </c>
      <c r="H10" s="124">
        <f>IFERROR(INDEX(Data!$A$2:$A$130, MATCH(H9, Data!$B$2:$B$130, 0)),0)</f>
        <v>363</v>
      </c>
    </row>
    <row r="11" spans="2:10" x14ac:dyDescent="0.25">
      <c r="B11" s="126" t="s">
        <v>267</v>
      </c>
      <c r="C11" s="127">
        <f>AutonicMapper!C56</f>
        <v>112</v>
      </c>
      <c r="D11" s="127">
        <f>AutonicMapper!C57</f>
        <v>111</v>
      </c>
      <c r="E11" s="127">
        <f>AutonicMapper!C58</f>
        <v>110</v>
      </c>
      <c r="F11" s="127">
        <f>AutonicMapper!C59</f>
        <v>109</v>
      </c>
      <c r="G11" s="127">
        <f>AutonicMapper!C60</f>
        <v>108</v>
      </c>
      <c r="H11" s="127">
        <f>AutonicMapper!C61</f>
        <v>107</v>
      </c>
    </row>
    <row r="12" spans="2:10" x14ac:dyDescent="0.25">
      <c r="B12" s="126" t="s">
        <v>272</v>
      </c>
      <c r="C12" s="126">
        <f>IFERROR(INDEX(Data!$A$2:$A$130, MATCH(C11, Data!$B$2:$B$130, 0)),0)</f>
        <v>415</v>
      </c>
      <c r="D12" s="126">
        <f>IFERROR(INDEX(Data!$A$2:$A$130, MATCH(D11, Data!$B$2:$B$130, 0)),0)</f>
        <v>240</v>
      </c>
      <c r="E12" s="126">
        <f>IFERROR(INDEX(Data!$A$2:$A$130, MATCH(E11, Data!$B$2:$B$130, 0)),0)</f>
        <v>367</v>
      </c>
      <c r="F12" s="126">
        <f>IFERROR(INDEX(Data!$A$2:$A$130, MATCH(F11, Data!$B$2:$B$130, 0)),0)</f>
        <v>388</v>
      </c>
      <c r="G12" s="126">
        <f>IFERROR(INDEX(Data!$A$2:$A$130, MATCH(G11, Data!$B$2:$B$130, 0)),0)</f>
        <v>472</v>
      </c>
      <c r="H12" s="126">
        <f>IFERROR(INDEX(Data!$A$2:$A$130, MATCH(H11, Data!$B$2:$B$130, 0)),0)</f>
        <v>386</v>
      </c>
    </row>
    <row r="13" spans="2:10" x14ac:dyDescent="0.25">
      <c r="B13" s="128" t="s">
        <v>267</v>
      </c>
      <c r="C13" s="129">
        <f>AutonicMapper!C26</f>
        <v>163</v>
      </c>
      <c r="D13" s="129">
        <f>AutonicMapper!C27</f>
        <v>0</v>
      </c>
      <c r="E13" s="129">
        <f>AutonicMapper!C28</f>
        <v>162</v>
      </c>
      <c r="F13" s="129">
        <f>AutonicMapper!C29</f>
        <v>161</v>
      </c>
      <c r="G13" s="129">
        <f>AutonicMapper!C30</f>
        <v>0</v>
      </c>
      <c r="H13" s="129">
        <f>AutonicMapper!C31</f>
        <v>160</v>
      </c>
    </row>
    <row r="14" spans="2:10" x14ac:dyDescent="0.25">
      <c r="B14" s="128" t="s">
        <v>273</v>
      </c>
      <c r="C14" s="128">
        <f>IFERROR(INDEX(Data!$A$2:$A$130, MATCH(C13, Data!$B$2:$B$130, 0)),0)</f>
        <v>362</v>
      </c>
      <c r="D14" s="128">
        <f>IFERROR(INDEX(Data!$A$2:$A$130, MATCH(D13, Data!$B$2:$B$130, 0)),0)</f>
        <v>0</v>
      </c>
      <c r="E14" s="128">
        <f>IFERROR(INDEX(Data!$A$2:$A$130, MATCH(E13, Data!$B$2:$B$130, 0)),0)</f>
        <v>365</v>
      </c>
      <c r="F14" s="128">
        <f>IFERROR(INDEX(Data!$A$2:$A$130, MATCH(F13, Data!$B$2:$B$130, 0)),0)</f>
        <v>366</v>
      </c>
      <c r="G14" s="128">
        <f>IFERROR(INDEX(Data!$A$2:$A$130, MATCH(G13, Data!$B$2:$B$130, 0)),0)</f>
        <v>0</v>
      </c>
      <c r="H14" s="128">
        <f>IFERROR(INDEX(Data!$A$2:$A$130, MATCH(H13, Data!$B$2:$B$130, 0)),0)</f>
        <v>368</v>
      </c>
    </row>
    <row r="15" spans="2:10" x14ac:dyDescent="0.25">
      <c r="B15" s="130" t="s">
        <v>267</v>
      </c>
      <c r="C15" s="131">
        <f>AutonicMapper!C2</f>
        <v>0</v>
      </c>
      <c r="D15" s="131">
        <f>AutonicMapper!C3</f>
        <v>174</v>
      </c>
      <c r="E15" s="131">
        <f>AutonicMapper!C4</f>
        <v>173</v>
      </c>
      <c r="F15" s="131">
        <f>AutonicMapper!C5</f>
        <v>172</v>
      </c>
      <c r="G15" s="131">
        <f>AutonicMapper!C6</f>
        <v>171</v>
      </c>
      <c r="H15" s="131">
        <f>AutonicMapper!C7</f>
        <v>170</v>
      </c>
    </row>
    <row r="16" spans="2:10" x14ac:dyDescent="0.25">
      <c r="B16" s="130" t="s">
        <v>274</v>
      </c>
      <c r="C16" s="130">
        <f>IFERROR(INDEX(Data!$A$2:$A$130, MATCH(C15, Data!$B$2:$B$130, 0)),0)</f>
        <v>0</v>
      </c>
      <c r="D16" s="130">
        <f>IFERROR(INDEX(Data!$A$2:$A$130, MATCH(D15, Data!$B$2:$B$130, 0)),0)</f>
        <v>374</v>
      </c>
      <c r="E16" s="130">
        <f>IFERROR(INDEX(Data!$A$2:$A$130, MATCH(E15, Data!$B$2:$B$130, 0)),0)</f>
        <v>372</v>
      </c>
      <c r="F16" s="130">
        <f>IFERROR(INDEX(Data!$A$2:$A$130, MATCH(F15, Data!$B$2:$B$130, 0)),0)</f>
        <v>373</v>
      </c>
      <c r="G16" s="130">
        <f>IFERROR(INDEX(Data!$A$2:$A$130, MATCH(G15, Data!$B$2:$B$130, 0)),0)</f>
        <v>264</v>
      </c>
      <c r="H16" s="130">
        <f>IFERROR(INDEX(Data!$A$2:$A$130, MATCH(H15, Data!$B$2:$B$130, 0)),0)</f>
        <v>434</v>
      </c>
    </row>
    <row r="17" spans="2:27" x14ac:dyDescent="0.25">
      <c r="B17" s="132" t="s">
        <v>267</v>
      </c>
      <c r="C17" s="133">
        <f>AutonicMapper!C8</f>
        <v>169</v>
      </c>
      <c r="D17" s="133">
        <f>AutonicMapper!C9</f>
        <v>168</v>
      </c>
      <c r="E17" s="133">
        <f>AutonicMapper!C10</f>
        <v>165</v>
      </c>
      <c r="F17" s="133">
        <f>AutonicMapper!C11</f>
        <v>0</v>
      </c>
      <c r="G17" s="133">
        <f>AutonicMapper!C12</f>
        <v>164</v>
      </c>
      <c r="H17" s="133">
        <f>AutonicMapper!C13</f>
        <v>0</v>
      </c>
    </row>
    <row r="18" spans="2:27" x14ac:dyDescent="0.25">
      <c r="B18" s="132" t="s">
        <v>275</v>
      </c>
      <c r="C18" s="132">
        <f>IFERROR(INDEX(Data!$A$2:$A$130, MATCH(C17, Data!$B$2:$B$130, 0)),0)</f>
        <v>351</v>
      </c>
      <c r="D18" s="132">
        <f>IFERROR(INDEX(Data!$A$2:$A$130, MATCH(D17, Data!$B$2:$B$130, 0)),0)</f>
        <v>453</v>
      </c>
      <c r="E18" s="132">
        <f>IFERROR(INDEX(Data!$A$2:$A$130, MATCH(E17, Data!$B$2:$B$130, 0)),0)</f>
        <v>353</v>
      </c>
      <c r="F18" s="132">
        <f>IFERROR(INDEX(Data!$A$2:$A$130, MATCH(F17, Data!$B$2:$B$130, 0)),0)</f>
        <v>0</v>
      </c>
      <c r="G18" s="132">
        <f>IFERROR(INDEX(Data!$A$2:$A$130, MATCH(G17, Data!$B$2:$B$130, 0)),0)</f>
        <v>354</v>
      </c>
      <c r="H18" s="132">
        <f>IFERROR(INDEX(Data!$A$2:$A$130, MATCH(H17, Data!$B$2:$B$130, 0)),0)</f>
        <v>0</v>
      </c>
    </row>
    <row r="19" spans="2:27" x14ac:dyDescent="0.25">
      <c r="B19" s="117"/>
      <c r="C19" s="117"/>
      <c r="D19" s="117"/>
      <c r="E19" s="117"/>
      <c r="F19" s="117"/>
      <c r="G19" s="117"/>
      <c r="H19" s="117"/>
    </row>
    <row r="20" spans="2:27" x14ac:dyDescent="0.25">
      <c r="B20" s="117" t="s">
        <v>276</v>
      </c>
      <c r="C20" s="117"/>
      <c r="D20" s="117"/>
      <c r="E20" s="117"/>
      <c r="F20" s="117"/>
      <c r="G20" s="117"/>
      <c r="H20" s="117"/>
    </row>
    <row r="21" spans="2:27" x14ac:dyDescent="0.25">
      <c r="B21" s="134" t="s">
        <v>267</v>
      </c>
      <c r="C21" s="135">
        <f>AutonicMapper!C20</f>
        <v>201</v>
      </c>
      <c r="D21" s="135">
        <f>AutonicMapper!C21</f>
        <v>202</v>
      </c>
      <c r="E21" s="135">
        <f>AutonicMapper!C22</f>
        <v>203</v>
      </c>
      <c r="F21" s="135">
        <f>AutonicMapper!C23</f>
        <v>204</v>
      </c>
      <c r="G21" s="135">
        <f>AutonicMapper!C24</f>
        <v>205</v>
      </c>
      <c r="H21" s="135">
        <f>AutonicMapper!C25</f>
        <v>212</v>
      </c>
      <c r="J21" t="s">
        <v>267</v>
      </c>
      <c r="K21" s="149">
        <f>AutonicMapper!DD98</f>
        <v>0</v>
      </c>
      <c r="L21" s="149">
        <f>Line!B73</f>
        <v>227</v>
      </c>
      <c r="M21" s="149">
        <f>Line!B74</f>
        <v>226</v>
      </c>
      <c r="N21" s="149">
        <f>Line!B75</f>
        <v>225</v>
      </c>
      <c r="O21" s="149">
        <f>Line!B76</f>
        <v>224</v>
      </c>
      <c r="P21" s="149">
        <f>Line!B77</f>
        <v>223</v>
      </c>
      <c r="Q21" s="149">
        <f>Line!B78</f>
        <v>222</v>
      </c>
      <c r="R21" s="149">
        <f>Line!B79</f>
        <v>221</v>
      </c>
      <c r="S21" s="149">
        <f>Line!B80</f>
        <v>220</v>
      </c>
      <c r="T21" s="149">
        <f>Line!B81</f>
        <v>219</v>
      </c>
      <c r="U21" s="149">
        <f>Layout!GJ98</f>
        <v>238</v>
      </c>
      <c r="V21" s="149">
        <f>Line!B83</f>
        <v>236</v>
      </c>
      <c r="W21" s="149">
        <f>Line!B84</f>
        <v>240</v>
      </c>
      <c r="X21" s="149">
        <f>Line!B85</f>
        <v>241</v>
      </c>
      <c r="Y21" s="149">
        <f>Layout!GD98</f>
        <v>237</v>
      </c>
      <c r="Z21" s="149">
        <f>Layout!FY98</f>
        <v>239</v>
      </c>
      <c r="AA21" s="149">
        <f>Layout!FR98</f>
        <v>0</v>
      </c>
    </row>
    <row r="22" spans="2:27" x14ac:dyDescent="0.25">
      <c r="B22" s="134" t="s">
        <v>274</v>
      </c>
      <c r="C22" s="134">
        <f>IFERROR(INDEX(Data!$A$2:$A$130, MATCH(C21, Data!$B$2:$B$130, 0)),0)</f>
        <v>378</v>
      </c>
      <c r="D22" s="134">
        <f>IFERROR(INDEX(Data!$A$2:$A$130, MATCH(D21, Data!$B$2:$B$130, 0)),0)</f>
        <v>376</v>
      </c>
      <c r="E22" s="134">
        <f>IFERROR(INDEX(Data!$A$2:$A$130, MATCH(E21, Data!$B$2:$B$130, 0)),0)</f>
        <v>375</v>
      </c>
      <c r="F22" s="134">
        <f>IFERROR(INDEX(Data!$A$2:$A$130, MATCH(F21, Data!$B$2:$B$130, 0)),0)</f>
        <v>294</v>
      </c>
      <c r="G22" s="134">
        <f>IFERROR(INDEX(Data!$A$2:$A$130, MATCH(G21, Data!$B$2:$B$130, 0)),0)</f>
        <v>379</v>
      </c>
      <c r="H22" s="134">
        <f>IFERROR(INDEX(Data!$A$2:$A$130, MATCH(H21, Data!$B$2:$B$130, 0)),0)</f>
        <v>438</v>
      </c>
      <c r="J22" t="s">
        <v>281</v>
      </c>
    </row>
    <row r="23" spans="2:27" x14ac:dyDescent="0.25">
      <c r="B23" s="136" t="s">
        <v>267</v>
      </c>
      <c r="C23" s="137">
        <f>AutonicMapper!C14</f>
        <v>208</v>
      </c>
      <c r="D23" s="137">
        <f>AutonicMapper!C15</f>
        <v>209</v>
      </c>
      <c r="E23" s="137">
        <f>AutonicMapper!C16</f>
        <v>210</v>
      </c>
      <c r="F23" s="137">
        <f>AutonicMapper!C17</f>
        <v>211</v>
      </c>
      <c r="G23" s="137">
        <f>AutonicMapper!C18</f>
        <v>207</v>
      </c>
      <c r="H23" s="137">
        <f>AutonicMapper!C19</f>
        <v>206</v>
      </c>
      <c r="J23" t="s">
        <v>267</v>
      </c>
      <c r="K23" s="149">
        <f>Line!B98</f>
        <v>214</v>
      </c>
      <c r="L23" s="149">
        <f>Line!B99</f>
        <v>215</v>
      </c>
      <c r="M23" s="149">
        <f>Line!B100</f>
        <v>216</v>
      </c>
      <c r="N23" s="149">
        <f>Line!B101</f>
        <v>217</v>
      </c>
      <c r="O23" s="149">
        <f>Line!B102</f>
        <v>218</v>
      </c>
    </row>
    <row r="24" spans="2:27" x14ac:dyDescent="0.25">
      <c r="B24" s="136" t="s">
        <v>275</v>
      </c>
      <c r="C24" s="136">
        <f>IFERROR(INDEX(Data!$A$2:$A$130, MATCH(C23, Data!$B$2:$B$130, 0)),0)</f>
        <v>383</v>
      </c>
      <c r="D24" s="136">
        <f>IFERROR(INDEX(Data!$A$2:$A$130, MATCH(D23, Data!$B$2:$B$130, 0)),0)</f>
        <v>448</v>
      </c>
      <c r="E24" s="136">
        <f>IFERROR(INDEX(Data!$A$2:$A$130, MATCH(E23, Data!$B$2:$B$130, 0)),0)</f>
        <v>381</v>
      </c>
      <c r="F24" s="136">
        <f>IFERROR(INDEX(Data!$A$2:$A$130, MATCH(F23, Data!$B$2:$B$130, 0)),0)</f>
        <v>382</v>
      </c>
      <c r="G24" s="136">
        <f>IFERROR(INDEX(Data!$A$2:$A$130, MATCH(G23, Data!$B$2:$B$130, 0)),0)</f>
        <v>468</v>
      </c>
      <c r="H24" s="136">
        <f>IFERROR(INDEX(Data!$A$2:$A$130, MATCH(H23, Data!$B$2:$B$130, 0)),0)</f>
        <v>207</v>
      </c>
      <c r="J24" t="s">
        <v>282</v>
      </c>
      <c r="K24">
        <f>IFERROR(INDEX(Data!$A$2:$A$120, MATCH(K23, Data!$B$2:$B$120, 0)), -1)</f>
        <v>458</v>
      </c>
      <c r="L24">
        <f>IFERROR(INDEX(Data!$A$2:$A$120, MATCH(L23, Data!$B$2:$B$120, 0)), -1)</f>
        <v>456</v>
      </c>
      <c r="M24">
        <f>IFERROR(INDEX(Data!$A$2:$A$120, MATCH(M23, Data!$B$2:$B$120, 0)), -1)</f>
        <v>480</v>
      </c>
      <c r="N24">
        <f>IFERROR(INDEX(Data!$A$2:$A$120, MATCH(N23, Data!$B$2:$B$120, 0)), -1)</f>
        <v>467</v>
      </c>
      <c r="O24">
        <f>IFERROR(INDEX(Data!$A$2:$A$120, MATCH(L23, Data!$B$2:$B$120, 0)), -1)</f>
        <v>456</v>
      </c>
    </row>
  </sheetData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Layout</vt:lpstr>
      <vt:lpstr>Line</vt:lpstr>
      <vt:lpstr>Data</vt:lpstr>
      <vt:lpstr>AndonMapper</vt:lpstr>
      <vt:lpstr>AutonicMapper</vt:lpstr>
      <vt:lpstr>dataAutonic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2025-08-04T02:06:16Z</dcterms:modified>
</cp:coreProperties>
</file>